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defaultThemeVersion="166925"/>
  <mc:AlternateContent xmlns:mc="http://schemas.openxmlformats.org/markup-compatibility/2006">
    <mc:Choice Requires="x15">
      <x15ac:absPath xmlns:x15ac="http://schemas.microsoft.com/office/spreadsheetml/2010/11/ac" url="https://westerngovernorsuniversity.sharepoint.com/sites/BSSCOMUPLRedevelopment/Shared Documents/General/"/>
    </mc:Choice>
  </mc:AlternateContent>
  <xr:revisionPtr revIDLastSave="0" documentId="8_{B0756727-DE3B-4ECC-95FC-9EA5BED9148A}" xr6:coauthVersionLast="47" xr6:coauthVersionMax="47" xr10:uidLastSave="{00000000-0000-0000-0000-000000000000}"/>
  <bookViews>
    <workbookView xWindow="-103" yWindow="-103" windowWidth="16663" windowHeight="9772" firstSheet="5" activeTab="6" xr2:uid="{CDA40A44-A52E-43FD-902A-3F94D4F25861}"/>
    <workbookView minimized="1" xWindow="34" yWindow="814" windowWidth="16509" windowHeight="7603" firstSheet="4" activeTab="3" xr2:uid="{864FD9D8-FFB9-48CD-BD0C-0D651F59EF4F}"/>
  </bookViews>
  <sheets>
    <sheet name="Existing Competency Progression" sheetId="10" state="hidden" r:id="rId1"/>
    <sheet name="Data Series" sheetId="14" state="hidden" r:id="rId2"/>
    <sheet name="SC&amp;O" sheetId="15" state="hidden" r:id="rId3"/>
    <sheet name="Program Map" sheetId="1" r:id="rId4"/>
    <sheet name="Program Map Instructions" sheetId="13" r:id="rId5"/>
    <sheet name="Standard Path" sheetId="8" r:id="rId6"/>
    <sheet name="Menus" sheetId="12" state="hidden"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7" i="8" l="1"/>
  <c r="E17" i="8"/>
  <c r="E12" i="8"/>
  <c r="J46" i="8"/>
  <c r="J39" i="8"/>
  <c r="J35" i="8"/>
  <c r="J29" i="8"/>
  <c r="J24" i="8"/>
  <c r="J20" i="8"/>
  <c r="J4" i="8"/>
  <c r="Q206" i="1"/>
  <c r="J6" i="8"/>
  <c r="J5" i="8"/>
  <c r="J8" i="8"/>
  <c r="J3" i="8"/>
  <c r="E47" i="8"/>
  <c r="E42" i="8"/>
  <c r="E32" i="8"/>
  <c r="E22" i="8"/>
  <c r="E7" i="8"/>
  <c r="D41" i="1"/>
  <c r="E37" i="8" l="1"/>
  <c r="N206" i="1"/>
  <c r="O206" i="1"/>
  <c r="M206" i="1"/>
  <c r="L6" i="13"/>
  <c r="E48"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Kristen Ford</author>
    <author>Douglas Conklin</author>
  </authors>
  <commentList>
    <comment ref="M3" authorId="0" shapeId="0" xr:uid="{CDC51538-70F3-4F57-8D0B-50D65D0E793F}">
      <text>
        <r>
          <rPr>
            <sz val="11"/>
            <color theme="1"/>
            <rFont val="Calibri"/>
            <family val="2"/>
            <scheme val="minor"/>
          </rPr>
          <t>The learner evaluates operational and supply chain problems using qualitative and quantitative data.</t>
        </r>
      </text>
    </comment>
    <comment ref="N3" authorId="0" shapeId="0" xr:uid="{E88B47F3-F182-4DEE-B8C9-792C47303854}">
      <text>
        <r>
          <rPr>
            <sz val="11"/>
            <color theme="1"/>
            <rFont val="Calibri"/>
            <family val="2"/>
            <scheme val="minor"/>
          </rPr>
          <t>The learner applies quality management, Lean, and Six Sigma principles to analyze processes, improve performance, and sustain operational improvements.</t>
        </r>
      </text>
    </comment>
    <comment ref="O3" authorId="0" shapeId="0" xr:uid="{D53A5F77-22AB-4DBA-A05A-EEE074C41D9F}">
      <text>
        <r>
          <rPr>
            <sz val="11"/>
            <color theme="1"/>
            <rFont val="Calibri"/>
            <family val="2"/>
            <scheme val="minor"/>
          </rPr>
          <t>The learner analyzes supply chain, logistics, and operations strategies to support organizational goals.</t>
        </r>
      </text>
    </comment>
    <comment ref="P3" authorId="1" shapeId="0" xr:uid="{6326111A-438D-499D-A0EF-324CAEC76CD0}">
      <text>
        <r>
          <rPr>
            <sz val="9"/>
            <color indexed="81"/>
            <rFont val="Tahoma"/>
            <family val="2"/>
          </rPr>
          <t>Learners synthesize business analytics, operations, and supply chain knowledge to design solutions to complex organizational problems.</t>
        </r>
      </text>
    </comment>
    <comment ref="Q3" authorId="0" shapeId="0" xr:uid="{E6413B03-C93B-49B6-9500-D292D44EEB2F}">
      <text>
        <r>
          <rPr>
            <sz val="11"/>
            <color theme="1"/>
            <rFont val="Calibri"/>
            <family val="2"/>
            <scheme val="minor"/>
          </rPr>
          <t>Learners communicate operational analyses and recommendations to diverse stakeholders.</t>
        </r>
      </text>
    </comment>
    <comment ref="R3" authorId="0" shapeId="0" xr:uid="{7E576791-A625-44C2-A1CD-CBB78E9BE53E}">
      <text>
        <r>
          <rPr>
            <sz val="11"/>
            <color theme="1"/>
            <rFont val="Calibri"/>
            <family val="2"/>
            <scheme val="minor"/>
          </rPr>
          <t>Using qualitative and quantitative data to frame problems, evaluate options, and justify operational and supply chain decisions.</t>
        </r>
      </text>
    </comment>
    <comment ref="S3" authorId="0" shapeId="0" xr:uid="{75F03ABC-710B-4667-B28E-419B6C845CFB}">
      <text>
        <r>
          <rPr>
            <sz val="11"/>
            <color theme="1"/>
            <rFont val="Calibri"/>
            <family val="2"/>
            <scheme val="minor"/>
          </rPr>
          <t>Viewing processes as improvable systems and applying Lean and Six Sigma thinking as an organizational philosophy—not just a toolkit.</t>
        </r>
      </text>
    </comment>
    <comment ref="T3" authorId="0" shapeId="0" xr:uid="{2748274C-7B8C-4B2C-A11C-CBF3A67EE266}">
      <text>
        <r>
          <rPr>
            <sz val="11"/>
            <color theme="1"/>
            <rFont val="Calibri"/>
            <family val="2"/>
            <scheme val="minor"/>
          </rPr>
          <t>Understanding organizations, operations, and supply chains as interconnected systems with tradeoffs, constraints, and downstream impacts.</t>
        </r>
      </text>
    </comment>
    <comment ref="U3" authorId="1" shapeId="0" xr:uid="{A66313B5-5423-4D2B-B393-8BF7A80DBE43}">
      <text>
        <r>
          <rPr>
            <sz val="9"/>
            <color indexed="81"/>
            <rFont val="Tahoma"/>
            <family val="2"/>
          </rPr>
          <t>Applying digital tools, analytics platforms, and AI technologies to enhance forecasting, optimization, risk management, and decision support.</t>
        </r>
      </text>
    </comment>
    <comment ref="V3" authorId="0" shapeId="0" xr:uid="{48C4446A-479A-4741-A319-F3072F4B5D9C}">
      <text>
        <r>
          <rPr>
            <sz val="11"/>
            <color theme="1"/>
            <rFont val="Calibri"/>
            <family val="2"/>
            <scheme val="minor"/>
          </rPr>
          <t>Considering ethical implications, sustainability, and social responsibility when designing and managing operations and supply chains.</t>
        </r>
      </text>
    </comment>
  </commentList>
</comments>
</file>

<file path=xl/sharedStrings.xml><?xml version="1.0" encoding="utf-8"?>
<sst xmlns="http://schemas.openxmlformats.org/spreadsheetml/2006/main" count="1225" uniqueCount="722">
  <si>
    <t>Course</t>
  </si>
  <si>
    <t>Competency Title</t>
  </si>
  <si>
    <t>Competency Statement</t>
  </si>
  <si>
    <t>Keep</t>
  </si>
  <si>
    <t>Lose</t>
  </si>
  <si>
    <t>Revise/Scope</t>
  </si>
  <si>
    <t xml:space="preserve">Level </t>
  </si>
  <si>
    <t>Modality</t>
  </si>
  <si>
    <t>C715 Organizational Behavior</t>
  </si>
  <si>
    <t>Behavioral Influences</t>
  </si>
  <si>
    <t>The graduate can describe the effects of specified influences on individual behavior.</t>
  </si>
  <si>
    <t>OA</t>
  </si>
  <si>
    <t>Group Development</t>
  </si>
  <si>
    <t>The graduate can recommend appropriate principles or techniques for guiding the development of a group.</t>
  </si>
  <si>
    <t>Teams and Team Building</t>
  </si>
  <si>
    <t>The graduate can determine which type of team and team leadership should be used to accomplish a task or project.</t>
  </si>
  <si>
    <t>Organizational Culture</t>
  </si>
  <si>
    <t>The graduate analyzes the culture within an organization to determine how to work effectively within that organization.</t>
  </si>
  <si>
    <t>Leadership</t>
  </si>
  <si>
    <t>The graduate can analyze leadership theories, methods, and tools in given situations and select the appropriate behavior of the leader.</t>
  </si>
  <si>
    <t>Perfomance Evaluation</t>
  </si>
  <si>
    <t>The graduate can develop and recommend how to implement effective performance evaluation processes.</t>
  </si>
  <si>
    <t>D265 Critical Thinking: Reason and Evidence</t>
  </si>
  <si>
    <t>Evaluates Quality of Arguments</t>
  </si>
  <si>
    <t>The learner evaluates the quality of an argument.</t>
  </si>
  <si>
    <t>OA: The learner evaluates arguments, assesses evidence for source credibility, examines bias and its impact, and makes claims based on evidence. </t>
  </si>
  <si>
    <t>Evaluates Source Credibility</t>
  </si>
  <si>
    <t>The learner evaluates evidence based on source credibility.</t>
  </si>
  <si>
    <t>Evaluates Bias and Its Impact</t>
  </si>
  <si>
    <t>The learner evaluates bias and its impact.</t>
  </si>
  <si>
    <t>Evidence Based Claims</t>
  </si>
  <si>
    <t>The learner makes claims based on evidence.</t>
  </si>
  <si>
    <t>D388 Fundamentals of Spreadsheets and Data Presentations</t>
  </si>
  <si>
    <t>Performs Common Spreadsheet Tasks</t>
  </si>
  <si>
    <t xml:space="preserve">The learner performs common spreadsheet tasks requiring basic formatting, formulas, and functions. </t>
  </si>
  <si>
    <t>OA/Excel</t>
  </si>
  <si>
    <t>Prepares Data for Analysis</t>
  </si>
  <si>
    <t xml:space="preserve">The learner prepares data for analysis. </t>
  </si>
  <si>
    <t>Creates presentations from Spreadsheet Datasets</t>
  </si>
  <si>
    <t>The learner creates a presentation from a spreadsheet dataset.</t>
  </si>
  <si>
    <t>D468	Discovering Data</t>
  </si>
  <si>
    <t>Incorporate Six Sigma into course title draft</t>
  </si>
  <si>
    <t>Sequence to cover the DMAIC process
Defining and getting into measuring in course 1</t>
  </si>
  <si>
    <t>The Role of Analytical Thinking in Decision-Making</t>
  </si>
  <si>
    <t>The learner describes the role of analytical thinking in decision-making.</t>
  </si>
  <si>
    <t>X</t>
  </si>
  <si>
    <t>Introduction to Six Sigma (for scoping out problems, etc)</t>
  </si>
  <si>
    <t>Concepts, Processes, and Tools for Data Analysis</t>
  </si>
  <si>
    <t>The learner describes key analytical concepts, processes, and tools for data analysis.</t>
  </si>
  <si>
    <t>Identify data sources, collection methods, and quality requirements
Apply critical thinking to evaluate he quality of that data</t>
  </si>
  <si>
    <t>Asking Effective Questions</t>
  </si>
  <si>
    <t>The learner explains how to ask effective questions to address problems.</t>
  </si>
  <si>
    <t>asking questions that lead to measurable results</t>
  </si>
  <si>
    <t>Data-Driven Decision-Making</t>
  </si>
  <si>
    <t>The learner explains how data can be organized, analyzed, and shared to drive the decision-making process.</t>
  </si>
  <si>
    <t>Use some verb like "visualize" data in Excel (or "tools")</t>
  </si>
  <si>
    <t>Communication with Teams and Stakeholders</t>
  </si>
  <si>
    <t>The learner describes the role of effective communication when collaborating with teams and stakeholders to address problems.</t>
  </si>
  <si>
    <t>communicate technical information to non-technical stakeholders (using dashboards, communicating with visualizations and clear langauge)
Understanding right methods of communications
Developing a communication plan
Supports project management</t>
  </si>
  <si>
    <t>C483 Principles of Management</t>
  </si>
  <si>
    <t>Strategic Planning</t>
  </si>
  <si>
    <t>The graduate can explain the strategic planning process.</t>
  </si>
  <si>
    <t>Total Quality Management</t>
  </si>
  <si>
    <t>The graduate can describe how to establish a total quality management program in a product operation and in a service operation.</t>
  </si>
  <si>
    <t>Entrepreneurial Perspective</t>
  </si>
  <si>
    <t>The graduate can describe how to establish and promote an entrepreneurial emphasis within an organization.</t>
  </si>
  <si>
    <t>Conflict and Change Management</t>
  </si>
  <si>
    <t>The graduate can recommend effective techniques for managing conflict and change.</t>
  </si>
  <si>
    <t>Human Resource Management</t>
  </si>
  <si>
    <t>The graduate can correctly apply principles of human resource management in a given situation.</t>
  </si>
  <si>
    <t>Workplace Diversity</t>
  </si>
  <si>
    <t>The graduate responds appropriately to diversity issues in the workplace.</t>
  </si>
  <si>
    <t>Organizational Structure</t>
  </si>
  <si>
    <t>The graduate can recommend an organizational structure to match a given organization's situation.</t>
  </si>
  <si>
    <t>C722	Project Management</t>
  </si>
  <si>
    <t>Project Management Concepts</t>
  </si>
  <si>
    <t>The graduate explains how project management helps organizations achieve their goals.</t>
  </si>
  <si>
    <t xml:space="preserve">OA </t>
  </si>
  <si>
    <t>The Project Life Cycle</t>
  </si>
  <si>
    <t>The graduate describes the project life cycle, including how project constraints will impact a project.</t>
  </si>
  <si>
    <t>Project Selection Criteria and Methods</t>
  </si>
  <si>
    <t>The graduate explains the criteria and methods used for project selection.</t>
  </si>
  <si>
    <t>Project-Management Methods</t>
  </si>
  <si>
    <t>The graduate explains how different types of project-management methods are used.</t>
  </si>
  <si>
    <t>Project Planning</t>
  </si>
  <si>
    <t>The graduate applies elements of project planning to prepare key documents of a project plan.</t>
  </si>
  <si>
    <t>Project Time Management</t>
  </si>
  <si>
    <t xml:space="preserve">The graduate constructs a project scheduling network diagram including the identification of the critical path. </t>
  </si>
  <si>
    <t>Executing, Monitoring and Controllin, Closing Project Work</t>
  </si>
  <si>
    <t>The graduate explains key activities for executing, monitoring and controlling, and closing projects.</t>
  </si>
  <si>
    <t>D270	Composition: Successful Self-Expression</t>
  </si>
  <si>
    <t>Cross-Cultural Communication</t>
  </si>
  <si>
    <t>The learner composes a written message with language appropriate for cross-cultural communication.</t>
  </si>
  <si>
    <t>PA</t>
  </si>
  <si>
    <t>Professional Writing</t>
  </si>
  <si>
    <t>The learner writes in a professional manner for a given scenario.</t>
  </si>
  <si>
    <t>Valid and Reliable Sources</t>
  </si>
  <si>
    <t xml:space="preserve">The learner researches valid and reliable sources. </t>
  </si>
  <si>
    <t>References and Citations</t>
  </si>
  <si>
    <t xml:space="preserve">The learner writes a reference list. </t>
  </si>
  <si>
    <t>Supporting a Position</t>
  </si>
  <si>
    <t xml:space="preserve">The learner incorporates research to support a position or idea.  </t>
  </si>
  <si>
    <t>Communication Approaches</t>
  </si>
  <si>
    <t xml:space="preserve">The learner writes a message using an effective communication approach for a given situation. </t>
  </si>
  <si>
    <t>Self-Expression</t>
  </si>
  <si>
    <t xml:space="preserve">The learner incorporates self-expression in written communication. </t>
  </si>
  <si>
    <t>D253	Values-Based Leadership</t>
  </si>
  <si>
    <t xml:space="preserve"> Develops Self-Awareness and Personal Values </t>
  </si>
  <si>
    <t>The learner identifies their personal values, including honesty, integrity, respect, emotional intelligence, and ethical responsibility, to develop self-awareness through self-assessment.</t>
  </si>
  <si>
    <t>Describes How Interpersonal Skills Are Applied in Leadership</t>
  </si>
  <si>
    <t>The learner describes how interpersonal skills are applied to effectively collaborate, communicate, and lead within a team and across an organization.</t>
  </si>
  <si>
    <t>Demonstrates How Leadership Delivers Results</t>
  </si>
  <si>
    <t>The learner demonstrates how their leadership abilities, including active listening, influence, and ethical responsibility, solve problems and deliver results within an organization.</t>
  </si>
  <si>
    <t>Explains Leadership of Cultures</t>
  </si>
  <si>
    <t>The learner explains how the leadership of cultures fosters diversity, inclusion, ethics, and problem-solving.</t>
  </si>
  <si>
    <t>D077	Concepts in Marketing, Sales &amp; Customer Contact</t>
  </si>
  <si>
    <t>Personal Selling and Negotiating</t>
  </si>
  <si>
    <t>The graduate identifies personal selling and negotiating strategies within the sales management process.</t>
  </si>
  <si>
    <t>Strategic Marketing</t>
  </si>
  <si>
    <t>The graduate describes how strategic marketing influences the overall success of a business.</t>
  </si>
  <si>
    <t>Marketing Planning</t>
  </si>
  <si>
    <t>The graduate describes basic elements used in marketing planning.</t>
  </si>
  <si>
    <t>C955	Applied Probability and Statistics</t>
  </si>
  <si>
    <t>Fractions, Decimals, and Percentages</t>
  </si>
  <si>
    <t>The graduate applies the operations, processes, and procedures of fractions, decimals, and percentages to evaluate quantitative expressions.</t>
  </si>
  <si>
    <t>Basic algebra</t>
  </si>
  <si>
    <t>The graduate applies the operations, processes, and procedures of basic algebra to evaluate quantitative expressions, and to solve equations and inequalities.</t>
  </si>
  <si>
    <t>Descriptive Statistics for a Single Variable</t>
  </si>
  <si>
    <t>The graduate evaluates categorical and quantitative data pertaining to a single variable using appropriate graphical displays and numerical measures.</t>
  </si>
  <si>
    <t>Descriptive Statistics for Two Variables</t>
  </si>
  <si>
    <t>The graduate evaluates the relationship between two variables through interpretation of visual displays and numerical measures.</t>
  </si>
  <si>
    <t>Correlation and Regression</t>
  </si>
  <si>
    <t>The graduate evaluates the relationship between two quantitative variables through correlation and regression.</t>
  </si>
  <si>
    <t>Probability</t>
  </si>
  <si>
    <t>The graduate applies principles and methods of probability-based mathematics to explain and solve problems.</t>
  </si>
  <si>
    <t>D467	Exploring Data</t>
  </si>
  <si>
    <t>Data Structures, Types, Formats, and Integrity</t>
  </si>
  <si>
    <t>The learner explains key data structures, types, formats, and integrity in data collection.</t>
  </si>
  <si>
    <t>Best Practices for Organizing Data</t>
  </si>
  <si>
    <t>The learner describes best practices for preparing data for analysis in spreadsheets and databases with SQL.</t>
  </si>
  <si>
    <t>Organizing, Cleaning, and Verifying Data</t>
  </si>
  <si>
    <t>The learner explains data cleaning and verification processes using spreadsheet techniques and SQL queries and functions.</t>
  </si>
  <si>
    <t>C721	Change Management</t>
  </si>
  <si>
    <t>Change Management Theories</t>
  </si>
  <si>
    <t>The graduate summarizes the theories related to change management.</t>
  </si>
  <si>
    <t>Diagnosing and Planning for Change</t>
  </si>
  <si>
    <t>The graduate explains how organizations diagnose the need for change and the approaches for implementing change.</t>
  </si>
  <si>
    <t>Innovation and Leadership</t>
  </si>
  <si>
    <t>The graduate describes different innovation strategies and the role leaders play in innovation.</t>
  </si>
  <si>
    <t>Implementing Change</t>
  </si>
  <si>
    <t>The graduate explains the various approaches to implementing change and the roles that leaders and other stakeholders fulfill.</t>
  </si>
  <si>
    <t>Sustaining Change</t>
  </si>
  <si>
    <t>The graduate explains the strategies, principles, roles, and models for sustaining change.</t>
  </si>
  <si>
    <t>The Learning Organization</t>
  </si>
  <si>
    <t>The graduate explains how learning organizations develop and how learning organizations and traditional organizations approach change differently.</t>
  </si>
  <si>
    <t>D428	Design Thinking for Business</t>
  </si>
  <si>
    <t>Describes Design Thinking in Problem Solving</t>
  </si>
  <si>
    <t>The learner describes the role of design thinking in problem solving.</t>
  </si>
  <si>
    <t>Analyzes Problem Solving using Design Thinking</t>
  </si>
  <si>
    <t>The learner analyzes problems and solutions using design thinking methodology.</t>
  </si>
  <si>
    <t>Analyzes and Proposes Design thinking Solutions</t>
  </si>
  <si>
    <t>The learner proposes a solution to a complex problem using design thinking.</t>
  </si>
  <si>
    <t>D774	Introduction to Business Accounting</t>
  </si>
  <si>
    <t>Role of Financial and Managerial Accounting in Business</t>
  </si>
  <si>
    <t>The learner explains the role of financial and managerial accounting in business.</t>
  </si>
  <si>
    <t>Uses of Financial Statements</t>
  </si>
  <si>
    <t>The learner explains the uses of financial statements in business.</t>
  </si>
  <si>
    <t>Methods of Budgeting</t>
  </si>
  <si>
    <t>The learner explains the basic methods of budgeting in business.</t>
  </si>
  <si>
    <t>Managing Costs and Profits</t>
  </si>
  <si>
    <t>The learner explains how costs and profits are managed in business.</t>
  </si>
  <si>
    <t>D466	Analyzing and Visualizing Data</t>
  </si>
  <si>
    <t>Data Visualizations to Support Arguments</t>
  </si>
  <si>
    <t>The learner demonstrates how to support arguments through data visualizations.</t>
  </si>
  <si>
    <t>using Tableau, performance assessments using sample business problems</t>
  </si>
  <si>
    <t>Creating Data Visualizations</t>
  </si>
  <si>
    <t>The learner constructs visualizations using business intelligence from a variety of datasets.</t>
  </si>
  <si>
    <t>Applying Data Visualization Techniques</t>
  </si>
  <si>
    <t>The learner explains data visualization techniques for effective storytelling.</t>
  </si>
  <si>
    <t>Presenting Data Stories to Stakeholders</t>
  </si>
  <si>
    <t>The learner presents to stakeholders using effective data presentation best practices.</t>
  </si>
  <si>
    <t>Determine what "presents" means - as a dashboard, or in a presentation with data visualization?</t>
  </si>
  <si>
    <t>D082	Emotional and Cultural Intelligence</t>
  </si>
  <si>
    <t>Cultural Intelligence</t>
  </si>
  <si>
    <t>The graduate demonstrates cultural intelligence (CI) within multicultural and contemporary business situations.</t>
  </si>
  <si>
    <t>Emotional Intelligence</t>
  </si>
  <si>
    <t>The graduate applies emotional intelligence (EI) to improve intrapersonal and interpersonal interactions.</t>
  </si>
  <si>
    <t>D268	Introduction to Communication: Connecting with Others</t>
  </si>
  <si>
    <t>Implements appropriate Communication Styles</t>
  </si>
  <si>
    <t>The learner implements appropriate communication styles based on audience and setting.</t>
  </si>
  <si>
    <t>PA (3 Tasks): The learner implements appropriate communication styles based on audience and setting by writing two professional introductory emails. The learner applies communication strategies to manage conflict by critically analyzing a conflict scenario and providing recommendations for effective resolution. The learner creates a written proposal for a new policy, developing and presenting a professional, narrated multimedia presentation. </t>
  </si>
  <si>
    <t>Uses Communication Strategies to Manage Conflict</t>
  </si>
  <si>
    <t>The learner uses communication strategies for managing conflict.</t>
  </si>
  <si>
    <t>Uses Communication Strategies to Influence Others</t>
  </si>
  <si>
    <t>The learner uses communication strategies to influence others.</t>
  </si>
  <si>
    <t>D465	Data Applications</t>
  </si>
  <si>
    <t>More robust and project oriented; simulation managing a project in Six Sigma</t>
  </si>
  <si>
    <t>Organize, Format, and Adjust Data for Analysis</t>
  </si>
  <si>
    <t>The learner explains processes for organizing, formatting, and adjusting data for analysis.</t>
  </si>
  <si>
    <t>Aggregate Data for Analysis and Perform Simple Calculations</t>
  </si>
  <si>
    <t>The learner explains processes for aggregating data in SQL and spreadsheets, using formulas and functions.</t>
  </si>
  <si>
    <t>Introduction to R</t>
  </si>
  <si>
    <t>The learner explains how to set up an R environment using RStudio.</t>
  </si>
  <si>
    <t>Exploring Data with R</t>
  </si>
  <si>
    <t>The learner identifies the R programming techniques used to clean, organize, analyze, and visualize data.</t>
  </si>
  <si>
    <t>rearticulate moving away from R, but working towards Six Sigma attainments
Using SQL and spreadsheets
Ensure we continue to incorporate "analyze" the data into one of these statements</t>
  </si>
  <si>
    <t>Using R Markdown</t>
  </si>
  <si>
    <t>The learner explains post-analysis tasks using R and R Markdown.</t>
  </si>
  <si>
    <t>Using Six Sigma as an organizational philosophy, not just a tool</t>
  </si>
  <si>
    <t>D089	Principles of Economics</t>
  </si>
  <si>
    <t>The Economic Way of Thinking</t>
  </si>
  <si>
    <t>The graduate explains fundamental economic principles used in microeconomics and macroeconomics.</t>
  </si>
  <si>
    <t>Microeconomics</t>
  </si>
  <si>
    <t>The graduate explains concepts in microeconomics used in business and public policy decisions.</t>
  </si>
  <si>
    <t>Macroeconomics</t>
  </si>
  <si>
    <t>The graduate explains concepts in macroeconomics used in business and public policy decisions.</t>
  </si>
  <si>
    <t>C717	Business Ethics</t>
  </si>
  <si>
    <t>Ethical Issues in Business</t>
  </si>
  <si>
    <t>The graduate analyzes ethical and socially responsible courses of action in a given business situation.</t>
  </si>
  <si>
    <t>Ethical Leadership</t>
  </si>
  <si>
    <t>The graduate analyzes ethical considerations that shape business leadership.</t>
  </si>
  <si>
    <t>Employment Issues in Business</t>
  </si>
  <si>
    <t>The graduate applies ethical principles to employment.</t>
  </si>
  <si>
    <t>Environmental Concerns in Business</t>
  </si>
  <si>
    <t>The graduate applies ethical principles to environmental concerns confronting business.</t>
  </si>
  <si>
    <t>International Business</t>
  </si>
  <si>
    <t>The graduate applies ethical principles to international business.</t>
  </si>
  <si>
    <t>Ethics Programs</t>
  </si>
  <si>
    <t>The graduate evaluates ethical policies in a given business scenario.</t>
  </si>
  <si>
    <t>D078	Business Environment Applications I: Business Structures and Legal Environment</t>
  </si>
  <si>
    <t>Designing Effective Organizations</t>
  </si>
  <si>
    <t>The graduate explains how the structure of an organization impacts its effectiveness in the context of critical circumstances.</t>
  </si>
  <si>
    <t>Legal Considerations for Organizations</t>
  </si>
  <si>
    <t>The graduate describes common legal considerations for the creation and operation of a business organization.</t>
  </si>
  <si>
    <t>D464	Managing Operations</t>
  </si>
  <si>
    <t>Investigate competency levels and assessment modality</t>
  </si>
  <si>
    <t>Describes Operations Management Processes</t>
  </si>
  <si>
    <t>The learner describes how operations management processes support business functions.</t>
  </si>
  <si>
    <t>Understanding AI applications in operations - forecasting, anomoly detection, optimization, governance</t>
  </si>
  <si>
    <t>Analyzes Management Systems and Processes</t>
  </si>
  <si>
    <t>The learner analyzes management systems and processes in operations management.</t>
  </si>
  <si>
    <t>Analyzes Supply Chain in Operations Management</t>
  </si>
  <si>
    <t>The learner analyzes the supply chain in operations management.</t>
  </si>
  <si>
    <t>Describes Ethical and Sustainable Operations Models</t>
  </si>
  <si>
    <t>The learner describes ethical and sustainable strategies in operating models.</t>
  </si>
  <si>
    <t>Describes Processes to Improve Efficiency</t>
  </si>
  <si>
    <t>The learner describes processes to improve operating efficiency and foster continuous improvement.</t>
  </si>
  <si>
    <t>Solutions must be resource, process, and training focused</t>
  </si>
  <si>
    <t>How to communicate - operation improvement proposals, quantify impact estimates
Using technical writing</t>
  </si>
  <si>
    <t>D775	Introduction to Business Finance</t>
  </si>
  <si>
    <t>Describes Systems, Structure, Roles, and Impact in Business</t>
  </si>
  <si>
    <t>The learner describes the systems, structure, roles, and impact of finance in business.</t>
  </si>
  <si>
    <t>Uses of Financial Ratios to Manage a Business</t>
  </si>
  <si>
    <t>The learner describes the uses of financial ratios to manage a business.</t>
  </si>
  <si>
    <t>Applies Time Value of Money Concepts to Business</t>
  </si>
  <si>
    <t>The learner explains the application of time value of money concepts to business.</t>
  </si>
  <si>
    <t>Describes Capital Budgeting</t>
  </si>
  <si>
    <t>The learner describes capital budgeting.</t>
  </si>
  <si>
    <t>C458	Health, Fitness, and Wellness</t>
  </si>
  <si>
    <t>Physical Health</t>
  </si>
  <si>
    <t>The graduate identifies the influence of disease, fitness, and lifestyle on the body.</t>
  </si>
  <si>
    <t>Nutrition</t>
  </si>
  <si>
    <t>The graduate identifies the principles of nutrition and the components of a healthy diet.</t>
  </si>
  <si>
    <t>Emotional Health and Wellness</t>
  </si>
  <si>
    <t>The graduate identifies factors that influence mental, emotional, and social wellness.</t>
  </si>
  <si>
    <t>Social and Emotional Learning</t>
  </si>
  <si>
    <t>The graduate identifies the application of the core competencies of social and emotional learning.</t>
  </si>
  <si>
    <t>C273	Introduction to Sociology</t>
  </si>
  <si>
    <t>Foundations of Sociology</t>
  </si>
  <si>
    <t>The graduate explains major perspectives and key contributors to the development of sociology. </t>
  </si>
  <si>
    <t>Culture and Socialization</t>
  </si>
  <si>
    <t xml:space="preserve">The graduate identifies components of culture and socialization as they relate to individuals in society. </t>
  </si>
  <si>
    <t>Social Organizations and Deviance</t>
  </si>
  <si>
    <t>The graduate explains the constructs of conformity to and deviance from social norms.</t>
  </si>
  <si>
    <t>Social Inequality</t>
  </si>
  <si>
    <t>The graduate explains how societies are stratified across various social statuses.</t>
  </si>
  <si>
    <t>Social Institutions and Social Change</t>
  </si>
  <si>
    <t>The graduate explains reciprocal relationships between social institutions and individuals.  </t>
  </si>
  <si>
    <t>C957	Applied Algebra</t>
  </si>
  <si>
    <t>Meanings of Functions</t>
  </si>
  <si>
    <t xml:space="preserve">The learner interprets the real-world meaning of various functions based on notation, graphical representations, and data representations. </t>
  </si>
  <si>
    <t>Linear Functions</t>
  </si>
  <si>
    <t>The learner applies linear functions and their properties to real-world problems.</t>
  </si>
  <si>
    <t>Polynomial Functions</t>
  </si>
  <si>
    <t>The learner applies polynomial functions and their properties to real-world problems.</t>
  </si>
  <si>
    <t>Exponential Functions</t>
  </si>
  <si>
    <t>The learner applies exponential functions and their properties to real-world problems.</t>
  </si>
  <si>
    <t>Logistic Functions</t>
  </si>
  <si>
    <t>The learner applies logistic functions and their properties to real-world problems.</t>
  </si>
  <si>
    <t>Graphical Depictions</t>
  </si>
  <si>
    <t>The learner analyzes graphical depictions of real-world situations using functional properties.</t>
  </si>
  <si>
    <t>Validity of Models</t>
  </si>
  <si>
    <t>The learner verifies the validity of a given model.</t>
  </si>
  <si>
    <t>D470	Transportation, Logistics, and Distribution</t>
  </si>
  <si>
    <t>Describes Distribution, Logistics, and Transportation Management</t>
  </si>
  <si>
    <t>The learner describes key elements of distribution, logistics, and transportation management.</t>
  </si>
  <si>
    <t>Identifies Supply Chain Laws and Regulations</t>
  </si>
  <si>
    <t>The learner identifies laws and regulations within operations and supply chains with respect to transportation, logistics, and distribution.</t>
  </si>
  <si>
    <t>Explains Total Cost of Ownership Management</t>
  </si>
  <si>
    <t>The learner explains how Total Cost of Ownership (TCO) management affects operations.</t>
  </si>
  <si>
    <t>Describes Distribution and Warehouse Management</t>
  </si>
  <si>
    <t>The learner describes key elements of distribution and warehouse management.</t>
  </si>
  <si>
    <t>D080	Managing in a Global Business Environment</t>
  </si>
  <si>
    <t>Globalization</t>
  </si>
  <si>
    <t>The graduate defines globalization and its major driving forces.</t>
  </si>
  <si>
    <t>Legal and Ethical Considerations</t>
  </si>
  <si>
    <t>The graduate describes the regulatory and ethical aspects of global business.</t>
  </si>
  <si>
    <t>Business Strategies</t>
  </si>
  <si>
    <t>The graduate compares the effectiveness of business strategies in the global business environment.</t>
  </si>
  <si>
    <t>Global Business Practices</t>
  </si>
  <si>
    <t>The graduate describes how financial and operational practices influence global business.</t>
  </si>
  <si>
    <t>Technologies and Trends</t>
  </si>
  <si>
    <t>The graduate describes technologies and trends in the global business environment.</t>
  </si>
  <si>
    <t>D266	World History: Diverse Cultures and Global Connections</t>
  </si>
  <si>
    <t>Differentiates cultural and religious customs and practices</t>
  </si>
  <si>
    <t>The learner differentiates among diverse cultural and religious customs and practices.</t>
  </si>
  <si>
    <t>PA (3 Tasks): The learner will examine the spread of Christianity and Islam across Africa and Eurasia. The learner will examine the causes of the Black Death and the 1918 influenza pandemic. The learner will explore one empire that expanded during this period and one colony that gained independence, while also considering how the Cold War influenced decolonization and the emergence of new nation-states. </t>
  </si>
  <si>
    <t>Analyzes role of humans in spread of disease</t>
  </si>
  <si>
    <t>The learner analyzes the role of human actions in the spread of disease.</t>
  </si>
  <si>
    <t>Explains rise and fall of empires</t>
  </si>
  <si>
    <t>The learner explains the factors that contributed to the rise and fall of empires.</t>
  </si>
  <si>
    <t>Explains development of nation states</t>
  </si>
  <si>
    <t>The learner explains the factors that contributed to the development of nation states.</t>
  </si>
  <si>
    <t>D471	Global Supply Chain Management</t>
  </si>
  <si>
    <t>Describes Supply Chain Management and Risks</t>
  </si>
  <si>
    <t>The learner describes concepts of supply chain management and supply chain risk management.</t>
  </si>
  <si>
    <t>Tariffs and currency exchange rates</t>
  </si>
  <si>
    <t>Describes Supply Chain Relationship Management</t>
  </si>
  <si>
    <t>The learner describes the management of relationships, distribution, logistics, sourcing, and transportation within the supply chain.</t>
  </si>
  <si>
    <t>Explains Supply Chain Effects on Consumers</t>
  </si>
  <si>
    <t>The learner explains how the supply chain affects consumers. </t>
  </si>
  <si>
    <t>Explains Sales and Operations Planning</t>
  </si>
  <si>
    <t>The learner explains the role of the Sales and Operations Planning (S&amp;OP) process in Operations and Supply Chain Management.</t>
  </si>
  <si>
    <t>D361	Business Simulation</t>
  </si>
  <si>
    <t>Integrated Business Skills</t>
  </si>
  <si>
    <t>The graduate applies the competencies from across the business core curriculum, demonstrating the ability to lead the implementation of the mission, strategy, and goals of an organization.</t>
  </si>
  <si>
    <t>D351	Functions of Human Resource Management</t>
  </si>
  <si>
    <t>Identifies Human Resource Management Roles</t>
  </si>
  <si>
    <t xml:space="preserve">The learner identifies the roles and functions in strategic human resource management.  </t>
  </si>
  <si>
    <t>Explains Forecasting, Planning, Recruitment, and Selection</t>
  </si>
  <si>
    <t xml:space="preserve">The learner explains how the talent acquisition process works to meet the current and future needs of the organization. </t>
  </si>
  <si>
    <t>Describes Employee Training, Development, and Performance Evaluation</t>
  </si>
  <si>
    <t xml:space="preserve">The learner describes training and development activities that improve employees’ current and future job performance and systems for measuring, evaluating, and influencing employee performance. </t>
  </si>
  <si>
    <t>Explains Workplace Legal Compliance</t>
  </si>
  <si>
    <t xml:space="preserve">The learner explains applicable federal employment-related regulations and human resources' role in organizational compliance and employee relations. </t>
  </si>
  <si>
    <t>Describes Employee total Rewards</t>
  </si>
  <si>
    <t>The learner describes direct and indirect monetary and nonmonetary rewards based on employment.</t>
  </si>
  <si>
    <t>D472 21st Century Operations and Supply Chain</t>
  </si>
  <si>
    <t>Explains How Disruptions Transform Operations and Supply Chain</t>
  </si>
  <si>
    <t>The learner explains how disruptions transform operations and supply chain.</t>
  </si>
  <si>
    <t>Include AI
Critical thinking using Six Sigma Green Belt preparation</t>
  </si>
  <si>
    <t>Evaluates Solutions to Operational Problems Based on Data</t>
  </si>
  <si>
    <t>The learner evaluates solutions to operational problems based on relevant qualitative and quantitative data.</t>
  </si>
  <si>
    <t>C165	Integrated Physical Sciences</t>
  </si>
  <si>
    <t>The Nature of Science</t>
  </si>
  <si>
    <t>The learner describes the nature and process of science.</t>
  </si>
  <si>
    <t>Physics</t>
  </si>
  <si>
    <t>The learner examines applications of physics including fundamental concepts such as forces, motion, energy, and waves.</t>
  </si>
  <si>
    <t>Chemistry</t>
  </si>
  <si>
    <t>The learner examines applications of key chemistry concepts including the structure of matter and the behavior and conservation of matter in chemical reactions.</t>
  </si>
  <si>
    <t>Earth Science</t>
  </si>
  <si>
    <t>The learner describes the underlying organization, interactions, and processes within the Earth system including the Earth's structure and atmosphere and Earth's interactions within the solar system.</t>
  </si>
  <si>
    <t>D473	Solutions Design and Visualization Capstone</t>
  </si>
  <si>
    <t>Capstone</t>
  </si>
  <si>
    <t>The learner synthesizes business analytics, operations, and supply chain management skills to solve business problems.</t>
  </si>
  <si>
    <r>
      <rPr>
        <sz val="11"/>
        <color theme="9" tint="-0.249977111117893"/>
        <rFont val="Calibri"/>
        <family val="2"/>
        <scheme val="minor"/>
      </rPr>
      <t>Competency</t>
    </r>
    <r>
      <rPr>
        <sz val="11"/>
        <color theme="1"/>
        <rFont val="Calibri"/>
        <family val="2"/>
        <scheme val="minor"/>
      </rPr>
      <t xml:space="preserve">                              Evidence Statements                          Learning Objectives
</t>
    </r>
    <r>
      <rPr>
        <sz val="11"/>
        <color theme="9" tint="-0.249977111117893"/>
        <rFont val="Calibri"/>
        <family val="2"/>
        <scheme val="minor"/>
      </rPr>
      <t>What learners can do</t>
    </r>
    <r>
      <rPr>
        <sz val="11"/>
        <color theme="1"/>
        <rFont val="Calibri"/>
        <family val="2"/>
        <scheme val="minor"/>
      </rPr>
      <t xml:space="preserve">  ---- How they show they can do it ----- How we get them to competency</t>
    </r>
  </si>
  <si>
    <t>Prereqs</t>
  </si>
  <si>
    <t>C955 Applied Probability and Statistics</t>
  </si>
  <si>
    <t>D388 Fundamentals for Spreadsheets and Data Presentations</t>
  </si>
  <si>
    <t>D469 Quality, Continuous Improvement, and Lean Six Sigma</t>
  </si>
  <si>
    <t>Explains Quality Management Strategies</t>
  </si>
  <si>
    <t>The learner explains appropriate quality management strategies for continuous improvement in an organization.</t>
  </si>
  <si>
    <t>Applies Quality Management Strategies</t>
  </si>
  <si>
    <t>The learner applies quality management principles and strategies for continuous improvement in an organization.</t>
  </si>
  <si>
    <t>Course Title</t>
  </si>
  <si>
    <t>Description</t>
  </si>
  <si>
    <t>New Competency Drafts</t>
  </si>
  <si>
    <t>Notes on New Courses</t>
  </si>
  <si>
    <t>(Current) D466
Fundamentals of Business Intelligence Software for Supply Chain</t>
  </si>
  <si>
    <t>NOTE: Current  D466 lists D467 as a prerequisite</t>
  </si>
  <si>
    <t>Discovering Data for Solutions in Lean Six Sigma
(Term 4)</t>
  </si>
  <si>
    <r>
      <t xml:space="preserve">This course walks the student through the </t>
    </r>
    <r>
      <rPr>
        <b/>
        <sz val="11"/>
        <color theme="1"/>
        <rFont val="Calibri"/>
        <family val="2"/>
        <scheme val="minor"/>
      </rPr>
      <t>define and measure</t>
    </r>
    <r>
      <rPr>
        <sz val="11"/>
        <color theme="1"/>
        <rFont val="Calibri"/>
        <family val="2"/>
        <scheme val="minor"/>
      </rPr>
      <t xml:space="preserve"> steps of the DMAIC process. 
We visualize a continuous simulation across the two courses: students practice while learning and then write a performance assessment, including the completed elements from the simulation, in a final business report. </t>
    </r>
  </si>
  <si>
    <t>The learner defines a supply chain problem in measurable terms.</t>
  </si>
  <si>
    <t>Voice of the Customer</t>
  </si>
  <si>
    <t>The learner interprets the voice of the customer to identify the scope of projects</t>
  </si>
  <si>
    <t>(Voice of the Customer): The learner identifies the customer requirements and relevant data for application of critical to quality factors</t>
  </si>
  <si>
    <t>Project Management Basics</t>
  </si>
  <si>
    <t>The learner defines clear and measurable goals (communicates)
E.g. based on critical to quality (CTQ) metrics
How they align to business objectives</t>
  </si>
  <si>
    <t>(Project Management Basics): The learner applies project methodology, planning tools, and team responsibiliies in a project charter.</t>
  </si>
  <si>
    <t>ASQ Define: Project Identification, VOC, Project Management Basics, Management and Planning Tools, Business results for projects, Team Dynamics and Performance</t>
  </si>
  <si>
    <t>The learner evaluates tools and techniques to effectively measure process capabilites and identify current state</t>
  </si>
  <si>
    <t>Process Capability</t>
  </si>
  <si>
    <t>The learner demonstrates use of process capability measurement for customer specification and tolerance limits
Identifying baseline, and how to measure against that to show improvement</t>
  </si>
  <si>
    <t>Process analysis and documentation: The student identifies processess and capablities, and constructs data collection plans for measurement of baseline and inefficiencies</t>
  </si>
  <si>
    <t>The learner identifies measurable data relevant to business problems for the purpose of identifying inefficiencies, design a data collection plan, and applies measurement systems analysis (MSA)</t>
  </si>
  <si>
    <t>(Probability and Statistics): The student applies descriptive statistics, probabilities, and grahpical methods to  sample and summarize data</t>
  </si>
  <si>
    <t>ASQ Measure: Process Analysis and Documentation, Probability and Statistics, Statistical Distributions, Collecting and Summarizing Data, Measure System Analytics, Process and Performance Capability</t>
  </si>
  <si>
    <t>Exploring Data for Solutions in Lean Six Sigma
(Term 5)</t>
  </si>
  <si>
    <t>Analyze and improve</t>
  </si>
  <si>
    <t>The learner applies analytic methods to perform root cause analysis</t>
  </si>
  <si>
    <t>The learner demonstrates the identification of relevant variables and applies Failure Modes and Effects Analysis (FMEA) to identify potential failures and reduce risks
The learner selects the appropriate quality tools for mapping and diagnosing a process for inefficiencies or defects (flow charts, pareto, fishbone, run charts--exposure to some in D469)</t>
  </si>
  <si>
    <t>(Exploratory data analsysis): The student deomonstrates multivariate analysis techniques for root cause analsyis.</t>
  </si>
  <si>
    <t>The learner tests a hypothesis using statistical techniques</t>
  </si>
  <si>
    <t>The learner demonstrates forming a hypothesis that can be tested with statistical analysis
Validate or reject a hypothesis as the last step</t>
  </si>
  <si>
    <t xml:space="preserve">(Hypothesis Testing): The learner demonstrates forming and testinga hypothesis with statistical techniques. </t>
  </si>
  <si>
    <t>ASQ Analyze: Exploratory Data Analysis, Hypothesis Testing, Additional Analysis Methods</t>
  </si>
  <si>
    <t>Design of Experiment</t>
  </si>
  <si>
    <t>Solution Selection Matrix</t>
  </si>
  <si>
    <t>Trialing and selecting solutions</t>
  </si>
  <si>
    <t xml:space="preserve">ASQ Improve: Designe of Experiments (DOE), Implementation planning, Lean Tools, </t>
  </si>
  <si>
    <t>Critical to Quality (CTQ) Metrics</t>
  </si>
  <si>
    <t>Transition of ownership</t>
  </si>
  <si>
    <t>Change management and communication</t>
  </si>
  <si>
    <t>Documentation and Training</t>
  </si>
  <si>
    <t>Quality control monitoring for Lean Six Sigma</t>
  </si>
  <si>
    <t>Cross-functional teams</t>
  </si>
  <si>
    <t>Implementing Effective Solutions in Lean Six Sigma
(Term 6?)</t>
  </si>
  <si>
    <r>
      <t>This course supports the content of the</t>
    </r>
    <r>
      <rPr>
        <b/>
        <sz val="11"/>
        <color theme="1"/>
        <rFont val="Calibri"/>
        <family val="2"/>
        <scheme val="minor"/>
      </rPr>
      <t xml:space="preserve"> control phase</t>
    </r>
    <r>
      <rPr>
        <sz val="11"/>
        <color theme="1"/>
        <rFont val="Calibri"/>
        <family val="2"/>
        <scheme val="minor"/>
      </rPr>
      <t xml:space="preserve"> of the DMAIC process. It also dives deeper into Lean.</t>
    </r>
  </si>
  <si>
    <t>Muda (wasteful activity within a process)</t>
  </si>
  <si>
    <t>ASQ Control: Statistical Process Control, Sustain Improvements, Total Productive Maintenance</t>
  </si>
  <si>
    <t>The learner evaluates process performance control for modified behavior</t>
  </si>
  <si>
    <t>Value Stream Mapping</t>
  </si>
  <si>
    <t>The learner identifies value in quality expectations of customers and translates that into supply chain for products and services</t>
  </si>
  <si>
    <t>Understanding different types of control charts
Recognizing special calls and common calls variation
Focus on continuous improvement</t>
  </si>
  <si>
    <t>The learner executes a control plan to document and monitor process improvements</t>
  </si>
  <si>
    <t>Just-in-time manufacturing</t>
  </si>
  <si>
    <t>The learner demonstrates use of a pull stream for eliminating waste</t>
  </si>
  <si>
    <t>How to control and respond to variations in the process moving forward</t>
  </si>
  <si>
    <t>The learner applies lean principles to optimize business processes</t>
  </si>
  <si>
    <t>Continuous improvement</t>
  </si>
  <si>
    <t xml:space="preserve">The learner applies tools for implementing incremental changes to reduce waste </t>
  </si>
  <si>
    <t>Change implementation -- identifying correct tool from a lean standpoint</t>
  </si>
  <si>
    <t>Discuss lean as a culture and introduce students to new lean tools
Total production maintenance</t>
  </si>
  <si>
    <t>How COVID impacted understood six sigma processes</t>
  </si>
  <si>
    <t>Assessment</t>
  </si>
  <si>
    <t>Competency comments in Keep/Lose/Adapt</t>
  </si>
  <si>
    <t>Global - Changes/updates</t>
  </si>
  <si>
    <t>Rarkimm Comments</t>
  </si>
  <si>
    <t>MJ Comments</t>
  </si>
  <si>
    <t>Shad Comments</t>
  </si>
  <si>
    <t>Current: OA</t>
  </si>
  <si>
    <t>Elevate from "describes" to "evaluates." Students should assess operational value creation.</t>
  </si>
  <si>
    <t>no recommended changes to the competencies in this course</t>
  </si>
  <si>
    <t>Should include capacity planning, process design, and applied tool integration.</t>
  </si>
  <si>
    <t>Foundational and necessary as a bridge to later SCM courses. Add data-driven supply chain analysis component.</t>
  </si>
  <si>
    <t>Add ESG metrics and sustainability measurement.</t>
  </si>
  <si>
    <t>Students have process improvement training they should apply it.</t>
  </si>
  <si>
    <t>Use 2 or more AI models to arrive at a specific outcome. Contrast how different models approached the problem, and describe their prompting process.
Potentially a demand forecasting or inventory management technique scenario.</t>
  </si>
  <si>
    <t>Including demand pattern identification, process optimization research, and operational benchmarking</t>
  </si>
  <si>
    <t>Current: OA
Keep OA</t>
  </si>
  <si>
    <t>Also covering 1p vs 2p vs 3p distribution models</t>
  </si>
  <si>
    <t>Elevate to "analyzes." Students should apply analytical tools to logistics network problems.</t>
  </si>
  <si>
    <t>Exposure to Transportation Management Systems (TMS) would be a good at this point.
ERP</t>
  </si>
  <si>
    <t>Retain</t>
  </si>
  <si>
    <t xml:space="preserve">Tariffs are covered in the learning materials. Good. </t>
  </si>
  <si>
    <t>Using AI tool within the workflow to perform TCO analysis</t>
  </si>
  <si>
    <t>"Explains" to "applies." Students could build TCO models using spreadsheets with real data.</t>
  </si>
  <si>
    <t>Upgrade to "evaluates." Add WMS technology, automation trends.</t>
  </si>
  <si>
    <t xml:space="preserve">Exposure to Warehouse Management Systems (WMS) would be a good at this point.  </t>
  </si>
  <si>
    <t>Does the course cover sourcing?  (Outsourcing, offshoring, reshoring, vertical integration, horizontal, etc.)</t>
  </si>
  <si>
    <t xml:space="preserve">Tariffs and currency exchange rates
AI helps student understand supply chain analysis including demand forecasting and supplier evaluation </t>
  </si>
  <si>
    <t>"Describes" to "evaluates." Students could perform quantitative risk assessment and develop mitigation strategies.</t>
  </si>
  <si>
    <t>The learner analyzes global sourcing strategies, supplier relationships, and procurement decisions</t>
  </si>
  <si>
    <t>Add supplier scorecard development, sourcing strategy analysis, and SRM frameworks
Old competency: The learner describes the management of relationships, distribution, logistics, sourcing, and transportation within the supply chain.</t>
  </si>
  <si>
    <t>This is a good marriage of marketing and supply chain/distibution</t>
  </si>
  <si>
    <t>"Explains" to “Execute” Students would EXECUTE an S&amp;OP cycle using real data.</t>
  </si>
  <si>
    <t>Current: PA
PA suggestion:</t>
  </si>
  <si>
    <t>I am not sure if it is already covered and where it would fit in but supply chain resilience and sustainability are important topics.</t>
  </si>
  <si>
    <r>
      <rPr>
        <strike/>
        <sz val="11"/>
        <color theme="1"/>
        <rFont val="Calibri"/>
        <family val="2"/>
        <scheme val="minor"/>
      </rPr>
      <t>The learner explains how disruptions transform operations and supply chain.</t>
    </r>
    <r>
      <rPr>
        <sz val="11"/>
        <color theme="1"/>
        <rFont val="Calibri"/>
        <family val="2"/>
        <scheme val="minor"/>
      </rPr>
      <t xml:space="preserve">
The learner develops resilience strategies to prepare for operations and supply chain disruptions</t>
    </r>
  </si>
  <si>
    <t>"Explains" is far too passive for Term 9. Students should DEVELOP resilience strategies.
Geopolitical, technological, environmental interruptions
Using scenario based analysis or risk management frameworks
Building risk into the supply chain and how to address</t>
  </si>
  <si>
    <t>The learner evaluates solutions to operational problems based on analysis of relevant qualitative and quantitative data.</t>
  </si>
  <si>
    <t>Good verb level but needs tool specificity and broader scope.
What type of analysis is going to be performed? Determining qualitative vs quantitative data.
What tool needs to be used to get the information needed? (Excel, SQL, AI tools)</t>
  </si>
  <si>
    <t>The learner applies AI tools to logistics optimization challenges</t>
  </si>
  <si>
    <t>Current: PA</t>
  </si>
  <si>
    <t xml:space="preserve">NEW Lean Six Sigma (Green Belt) </t>
  </si>
  <si>
    <t>Migrated to Data Series tab</t>
  </si>
  <si>
    <t>The learner identifies key elements of lean culture</t>
  </si>
  <si>
    <t xml:space="preserve">Standard Path Order </t>
  </si>
  <si>
    <t xml:space="preserve">Course Details </t>
  </si>
  <si>
    <t>Competency Details</t>
  </si>
  <si>
    <t xml:space="preserve">BSSCOM Program Outcomes </t>
  </si>
  <si>
    <t xml:space="preserve">Cross Cutting Theme Map 
</t>
  </si>
  <si>
    <t>Term</t>
  </si>
  <si>
    <t>Course #</t>
  </si>
  <si>
    <t>CU</t>
  </si>
  <si>
    <t>Scope</t>
  </si>
  <si>
    <t>Ownership</t>
  </si>
  <si>
    <t>Designation</t>
  </si>
  <si>
    <t>Certificate</t>
  </si>
  <si>
    <t>BSSCOM Degree-Specific Outcomes
"I, R, M" Applied to Course Level to Indicate Introduce, Reinforce, and Mastery of Outcome
"A" Applied to Course Level to Indicate Course Selected to Measure Degree-Specific Outcome 
"X" indicates Outcome Coverage at Competency Level</t>
  </si>
  <si>
    <t>"I, R, M" Applied to Course Level to Indicate Introduce, Reinforce, and Mastery of Outcome
Cross Cutting Themes are Not Assessed so No "A" will be Applied 
"X" indicates Cross Cutting Theme Coverage at Competency Level</t>
  </si>
  <si>
    <t>Evaluates Operational and Supply Chain Problems Using Data</t>
  </si>
  <si>
    <t>Applies Quality Management and Lean Six Sigma</t>
  </si>
  <si>
    <t>Analyzes Supply Chain, Logistics, and Operations Strategies</t>
  </si>
  <si>
    <t>Synthesizes Business Analytics and Supply Chain Knowledge</t>
  </si>
  <si>
    <t>Communicates Analyses and Recommendations</t>
  </si>
  <si>
    <t>Data-Informed Decision Making</t>
  </si>
  <si>
    <t>Six Sigma as a Philosophy</t>
  </si>
  <si>
    <t>Systems Thinking</t>
  </si>
  <si>
    <t>Technology and AI in Operations and Supply Chain</t>
  </si>
  <si>
    <t>Ethical, Sustainable, and Responsible Operations</t>
  </si>
  <si>
    <t>C715</t>
  </si>
  <si>
    <t>Organizational Behavior</t>
  </si>
  <si>
    <t>Existing</t>
  </si>
  <si>
    <t>WSB</t>
  </si>
  <si>
    <t>Core</t>
  </si>
  <si>
    <t>I</t>
  </si>
  <si>
    <t>E###</t>
  </si>
  <si>
    <t>Leveraging AI and Technology in Supply Chain and Operations Management</t>
  </si>
  <si>
    <t>Redesign</t>
  </si>
  <si>
    <t>Major</t>
  </si>
  <si>
    <t>Explains Artificial Intelligence</t>
  </si>
  <si>
    <t>The learner explains how artificial intelligence (AI) can be applied in multiple contexts.</t>
  </si>
  <si>
    <t>Analyzes Ethics of Artificial Intelligence</t>
  </si>
  <si>
    <t>The learner analyzes ethical implications of artificial intelligence (AI).</t>
  </si>
  <si>
    <t>Explains How to Use Technology to Improve Supply Chain</t>
  </si>
  <si>
    <t>The learner explains how existing and emerging technology may be leveraged to improve supply chain and operations functions.</t>
  </si>
  <si>
    <t>D388</t>
  </si>
  <si>
    <t>Fundamentals of Spreadsheets and Data Presentations</t>
  </si>
  <si>
    <t>Global Supply Chain Management</t>
  </si>
  <si>
    <t>Operations Excellence</t>
  </si>
  <si>
    <t>The learner analyzes global sourcing strategies, supplier relationships, and procurement decisions.</t>
  </si>
  <si>
    <t>The learner explains how the supply chain affects consumers.</t>
  </si>
  <si>
    <t>D265</t>
  </si>
  <si>
    <t>Critical Thinking: Reason and Evidence</t>
  </si>
  <si>
    <t>Gen Ed</t>
  </si>
  <si>
    <t>GE - M&amp;P - ProbSolv</t>
  </si>
  <si>
    <t>C955</t>
  </si>
  <si>
    <t>Applied Probability and Statistics</t>
  </si>
  <si>
    <t>GE - M&amp;P - QuantStat</t>
  </si>
  <si>
    <t>R</t>
  </si>
  <si>
    <t>E124</t>
  </si>
  <si>
    <t>Giving, Receiving, and Incorporating Feedback</t>
  </si>
  <si>
    <t>Business Power Skills</t>
  </si>
  <si>
    <t>Provides Appropriate and Constructive Feedback</t>
  </si>
  <si>
    <t>The learner provides appropriate and constructive feedback to others.</t>
  </si>
  <si>
    <t>Addresses and Incorporates Feedback</t>
  </si>
  <si>
    <t>The learner addresses and incorporates feedback through reflection and iteration.</t>
  </si>
  <si>
    <t>Demonstrates Knowledge of Self and Career Pathways</t>
  </si>
  <si>
    <t>The learner demonstrates foundational knowledge of self and career pathways and uses that knowledge to identify potential career goals.</t>
  </si>
  <si>
    <t>Leverages Networking Strategies</t>
  </si>
  <si>
    <t>The learner leverages networking strategies and best practices to build and harness professional connections and relationships.</t>
  </si>
  <si>
    <t>Sum</t>
  </si>
  <si>
    <t xml:space="preserve">Legend: </t>
  </si>
  <si>
    <t>New</t>
  </si>
  <si>
    <t>GE - C&amp;C - Comm</t>
  </si>
  <si>
    <t>Enter Certificate Name</t>
  </si>
  <si>
    <t>LSH</t>
  </si>
  <si>
    <t xml:space="preserve">GE- C&amp;C - Comp </t>
  </si>
  <si>
    <t>Embedded</t>
  </si>
  <si>
    <t xml:space="preserve">Existing </t>
  </si>
  <si>
    <t>WST</t>
  </si>
  <si>
    <t>GE - S - Science</t>
  </si>
  <si>
    <t>Third Party</t>
  </si>
  <si>
    <t>WSE</t>
  </si>
  <si>
    <t>Academy</t>
  </si>
  <si>
    <t>GE - H&amp;SS - Amr Inst &amp; Glbl Per</t>
  </si>
  <si>
    <t>GE - H&amp;SS - Hmn Cmmnty</t>
  </si>
  <si>
    <t>GE - Additional CU - Any Domain</t>
  </si>
  <si>
    <t xml:space="preserve">Specialization </t>
  </si>
  <si>
    <t xml:space="preserve">Concentration </t>
  </si>
  <si>
    <t>Purpose of the Program Map:</t>
  </si>
  <si>
    <t>Competency to Program Alignment</t>
  </si>
  <si>
    <t xml:space="preserve">The purpose of the program map is a visual representation of a program.   Curricular changes within a program or course should be evaluated against the program map to ensure that all program objectives are met. </t>
  </si>
  <si>
    <t xml:space="preserve">To determine adequate coverage of outcomes accross program, enter the numbr of "x" for each program outcome aligned with competencies in the chart below.  Be able to justify the coverage of outcomes accross program. </t>
  </si>
  <si>
    <t>Program Outcome Map Instructions:</t>
  </si>
  <si>
    <t>Course Competency -Program Outcome</t>
  </si>
  <si>
    <t>Standard Path Order</t>
  </si>
  <si>
    <t>PO1</t>
  </si>
  <si>
    <t>PO2</t>
  </si>
  <si>
    <t>PO3</t>
  </si>
  <si>
    <t>PO4</t>
  </si>
  <si>
    <t>PO5</t>
  </si>
  <si>
    <t>PO6</t>
  </si>
  <si>
    <t>PO7</t>
  </si>
  <si>
    <t>TOTAL</t>
  </si>
  <si>
    <t>Courses should be listed in standard path order</t>
  </si>
  <si>
    <t>Addressed</t>
  </si>
  <si>
    <t>Course term, number, and name should be listed at the course level (grey row)</t>
  </si>
  <si>
    <t>Creating the Pie Chart</t>
  </si>
  <si>
    <t>Indicate the Scope of Design as New, Redesign, or Existing at course level  (grey row)</t>
  </si>
  <si>
    <t xml:space="preserve">To create the Pie Chart, select the range you'd like from the table above (PO1 - POx; Addressed; PO values), then go to "Insert", and click the Pie Graph Icon. </t>
  </si>
  <si>
    <t>Indicate the Ownership of the Course as Gen Ed, LSH, WST, WSB, or WSE at course level  (grey row)</t>
  </si>
  <si>
    <t>Indicate the designation of the course as GenEd [Domain], Major, Core, Specialization, or Concentration.  Refer to General Education Curriculum Map for GenEd course mapping, when available, at course level  (grey row)</t>
  </si>
  <si>
    <t xml:space="preserve">Competency Details </t>
  </si>
  <si>
    <t xml:space="preserve">The competency title, statement, level, and assessment should be listed in the white rows under each course.  Each competency should appear on its own line. </t>
  </si>
  <si>
    <t>Program Outcomes</t>
  </si>
  <si>
    <t xml:space="preserve">Degree Specific Outcomes </t>
  </si>
  <si>
    <t>Enter “I” to indicate students are introduced to the outcome at the course level (grew row)</t>
  </si>
  <si>
    <t>Enter “R” indicates the outcome is reinforced and students afforded opportunities to practice at the course level (grew row)</t>
  </si>
  <si>
    <t>Enter “M” indicates that students have had sufficient practice and can now demonstrate mastery at the degree exit level</t>
  </si>
  <si>
    <t>Enter “A” indicates where evidence will be collected and evaluated for program-level assessment at course level (grew row). Please note: The course that is the best measure of the outcome should be selected to assess the outcome.  The assessed course can happen any where along the degree path, and does not have to be where mastery is indicated.</t>
  </si>
  <si>
    <t xml:space="preserve">Enter "X" to indicate coverage of outcome at competency level (white row) </t>
  </si>
  <si>
    <t xml:space="preserve">General Education Outcomes </t>
  </si>
  <si>
    <t xml:space="preserve">Enter “A” indicates where evidence will be collected and evaluated for program-level assessment at course level (grew row). Please note: Only one GE course per domain should be used as the course to measure the GE outcome. </t>
  </si>
  <si>
    <t xml:space="preserve">Enter "X" to indicate coverage of cross cutting theme at competency level  (white row) </t>
  </si>
  <si>
    <r>
      <rPr>
        <b/>
        <sz val="11"/>
        <color rgb="FF000000"/>
        <rFont val="Calibri"/>
        <scheme val="minor"/>
      </rPr>
      <t>Do Not Map</t>
    </r>
    <r>
      <rPr>
        <sz val="11"/>
        <color rgb="FF000000"/>
        <rFont val="Calibri"/>
        <scheme val="minor"/>
      </rPr>
      <t xml:space="preserve"> IRM to GE courses at this time </t>
    </r>
  </si>
  <si>
    <t>Cross Cutting Themes</t>
  </si>
  <si>
    <t>Enter “I” to indicate students are introduced to the cross cutting theme at the course level (grew row)</t>
  </si>
  <si>
    <t>Enter “R” indicates the  cross cutting is reinforced and students afforded opportunities to practice at the course level (grew row)</t>
  </si>
  <si>
    <t>Enter “M” indicates that students have had sufficient practice and can now demonstrate mastery at the degree exit level (grew row)</t>
  </si>
  <si>
    <t>Because Cross Cutting Themes are not assessed "A" should not be mapped</t>
  </si>
  <si>
    <t>Proposed Standard Path</t>
  </si>
  <si>
    <t xml:space="preserve">Learning and Assessment Progression </t>
  </si>
  <si>
    <t>Competency Level Analysis 
*New Levels Provided for New/Redev
*Existing Levels Provided for Existing/Reuse</t>
  </si>
  <si>
    <t>Student Success Metrics
*Existing Student Success Metrics Provided for Redev and Existing/Reuse Courses</t>
  </si>
  <si>
    <t>Existing/New/Redev</t>
  </si>
  <si>
    <t>Course Code</t>
  </si>
  <si>
    <t>Course Name 
*Links to Competency Context Worksheets provided for new/redev</t>
  </si>
  <si>
    <t xml:space="preserve">CU </t>
  </si>
  <si>
    <t>Assessment Modality 
*Link to Existing PA Task Provided for Redev/Reuse Courses</t>
  </si>
  <si>
    <t>Course Scope/Descriptions
*Scope provided for New/Redev courses
*Description provided for existing/reuse courses</t>
  </si>
  <si>
    <t>Competency Count</t>
  </si>
  <si>
    <t>Cumulative Competency Levels</t>
  </si>
  <si>
    <t>AVG Levels per Course</t>
  </si>
  <si>
    <t>Course Assignment (n)</t>
  </si>
  <si>
    <t>Course Completion (n)</t>
  </si>
  <si>
    <t>Assigned CCR</t>
  </si>
  <si>
    <t>Starter CCR</t>
  </si>
  <si>
    <t>Starter Non-Attempt Rate</t>
  </si>
  <si>
    <t>Starter Assessment Pass Rate</t>
  </si>
  <si>
    <t>Median Days to Complete</t>
  </si>
  <si>
    <t>On Time Progress</t>
  </si>
  <si>
    <t>Organizational Behavior and Leadership explores how to lead and manage effectively in diverse business environments. Students are asked to demonstrate the ability to apply organizational leadership theories and management strategies in a series of scenario-based problems.</t>
  </si>
  <si>
    <t>EXXX</t>
  </si>
  <si>
    <t xml:space="preserve">This course is a clone of D648 and D656, updating the first two competencies to reflect changes in AI/shift to evergreen principles, and replacing the third competency with one specifically geared toward AI and technology applications to Supply Chain and Operations Management. </t>
  </si>
  <si>
    <t>OA(Excel)</t>
  </si>
  <si>
    <t>Fundamentals of Spreadsheets and Data Presentations offers learners an overview of the use of spreadsheet functions and methods for presenting data within spreadsheets. Learners will have the opportunity to explore features and uses of MS Excel and apply the tools to situations they may encounter while studying in their program. They will also be introduced to real world uses and tools to collect, organize and present data.</t>
  </si>
  <si>
    <t>Redev</t>
  </si>
  <si>
    <t xml:space="preserve">Global Supply Chain Management introduces a broad range of supply chain management concepts. Students consider supply chains and supply chain management strategies, including planning and design, risk management, and global and sustainable supply chain networks and management. Students learn about managing important relationships and their interdependencies. Students also investigate how supply chain costs affect consumers, quality and continuous improvement, and the role of the sales and operations planning (S&amp;OP) process. Portions of this course are aligned with aspects of ASCM APICS certification programs, namely the CSCP and the CPIM. </t>
  </si>
  <si>
    <t>Term Averages</t>
  </si>
  <si>
    <t>In this course you will learn key critical thinking concepts and how to apply them in the analysis and evaluation of reasons and evidence. The course examines the basic components of an argument, the credibility of evidence sources, the impact of bias, and how to construct an argument that provides good support for a claim. The course consists of an introduction and four major sections. Each section includes learning opportunities through readings, videos, audio, and other relevant resources. Assessment activities with feedback also provide opportunities to check your learning, practice, and show how well you understand course content. Because the course is self-paced, you may move through the material as quickly or as slowly as you need to gain proficiency in the four competencies that will be covered in the final assessment. If you have no prior knowledge or experience, you can expect to spend 30-40 hours on the course content.</t>
  </si>
  <si>
    <t>Applied Probability and Statistics is designed to help students develop competence in the fundamental concepts of basic statistics including: introductory algebra and graphing; descriptive statistics; regression and correlation; and probability. Statistical data and probability are often used in everyday life, science, business, information technology, and educational settings to make informed decisions about the validity of studies and the effect of data on decisions. This course discusses what constitutes sound research design and how to appropriately model phenomena using statistical data. Additionally, the content covers simple probability calculations, based on events that occur in the business and IT industries. No prerequisites are required for this course.</t>
  </si>
  <si>
    <t>Giving, Receiving and Incorporating Feedback</t>
  </si>
  <si>
    <t>Giving, Receiving, and Incorporating Feedback introduces students to the skills and strategies used to successfully receive feedback, iterate based on feedback, and provide constructive feedback to others. This course explores personal and professional settings in different contexts, including culturally complex or diverse settings.</t>
  </si>
  <si>
    <t>D469</t>
  </si>
  <si>
    <t>Quality, Continuous Improvement, and Lean Six Sigma</t>
  </si>
  <si>
    <t>OA/PA</t>
  </si>
  <si>
    <t>Quality, Continuous Improvement, and Lean Six Sigma examines how organizations can measure and improve the quality of products, goods, and services. Students consider different dimensions and characteristics of quality and are introduced to a variety of strategies and tools that are used to manage quality and measure performance. This course explores how to apply continuous improvement processes by analyzing the Lean Six Sigma DMAIC (define, measure, analyze, improve, and control) method. C955: Applied Probability and Statistics is a prerequisite for this course.</t>
  </si>
  <si>
    <t>D253</t>
  </si>
  <si>
    <t>Values Based Leadership</t>
  </si>
  <si>
    <t>Values-Based Leadership guides students to learn by reflection, design, and scenario planning. Through a combination of theory, reflection, value alignment, and practice, the course helps students examine and understand values-based leadership and explore foundations in creating a culture of care. In this course, students are given the opportunity to identify and define their personal values through an assessment and reflection process. Students then evaluate business cases to practice mapping the influence of values on their own leadership. In this course, students also participate in scenario planning, where they can practice implementing their values in their daily routine (i.e., behaviors) and then in a leadership setting. The course illustrates how values-driven leadership is used in goal setting as well as problem-solving at an organizational level. There are no prerequisites for this course.</t>
  </si>
  <si>
    <t>C957</t>
  </si>
  <si>
    <t>Applied Algebra</t>
  </si>
  <si>
    <t>Applied Algebra is designed to help you develop competence in working with functions, the algebra of functions, and using some applied properties of functions. You will start learning about how we can apply different kinds of functions to relevant, real-life examples. From there, the algebra of several families of functions will be explored, including linear, polynomial, exponential, and logistic functions. You will also learn about relevant, applicable mathematical properties of each family of functions, including rate of change, concavity, maximizing/minimizing, and asymptotes. These properties will be used to solve problems related to your major and make sense of everyday living problems. Students should complete Applied Probability and Statistics or its equivalent prior to engaging in Applied Algebra.</t>
  </si>
  <si>
    <t>Fundamentals of Business Intelligence Software for Supply Chain</t>
  </si>
  <si>
    <t xml:space="preserve">This course redevelops the current D466* Analyzing and Visualizing Data course as a BI software foundation for supply chain and operations decision-making. Learners build practical fluency using Excel and Tableau as an integrated toolchain for extracting, shaping, and visualizing data to inform business decisions. The primary tool emphasis is Tableau (with consideration for Tableau Public as a free-access option), while also providing a light crosswalk to other common BI tools so learners can transfer skills across platforms. Practice scenarios and datasets should emphasize supply chain and operations contexts (e.g., demand analytics and trend forecasting; inventory control and waste reduction; cash-to-cash/cash cycle considerations; basic process capability thinking tied to operational outcomes).  </t>
  </si>
  <si>
    <t>D268</t>
  </si>
  <si>
    <t>Introduction to Communication: Connecting with Others</t>
  </si>
  <si>
    <t>Welcome to Introduction to Communication: Connecting with Others! It may seem like common knowledge that communication skills are important, and that communicating with others is inescapable in our everyday lives. While this may appear simplistic, the study of communication is actually complex, dynamic, and multifaceted. Strong communication skills are invaluable to strengthening a multitude of aspects of life. Specifically, this course will focus on communication in the professional setting, and present material from multiple vantage points, including communicating with others in a variety of contexts, across situations, and with diverse populations. Upon completion, you will have a deeper understanding of both your own and others’ communication behaviors, and a toolbox of effective behaviors to enhance your experience in the workplace.</t>
  </si>
  <si>
    <t>D089</t>
  </si>
  <si>
    <t>Principles of Economics</t>
  </si>
  <si>
    <t>Principles of Economics introduces students to foundational economic theories on markets and market behavior. This information is valuable to students pursuing careers involving decision making and is applicable to any industry. This course has three competencies: The Economic Way of Thinking, Microeconomics, and Macroeconomics. In the first, economics is defined, and fundamental economic principles are introduced. Microeconomics develops the supply and demand model and demonstrates how it is used to understand business interactions and to make public policy decisions. The competency includes supply, demand, elasticity, efficiency, market failure, costs, production, and market structure. Macroeconomics focuses on the measurement and performance of the nation economy. The competency includes macroeconomic variables, aggregate supply, aggregate demand, money, monetary policy, fiscal policy, and international trade.</t>
  </si>
  <si>
    <t>D774</t>
  </si>
  <si>
    <t>Introduction to Business Accounting</t>
  </si>
  <si>
    <t>Introduction to Business Accounting provides students with an introduction to the discipline of accounting and its context within the business environment. This course will help students gain a fundamental knowledge of the role of financial and managerial accounting and the use of financial statements, budgeting, and managing costs and profits in business. This course is designed for business generalist students. There are no prerequisites for this course.</t>
  </si>
  <si>
    <t>Discovering Data for Solutions in Six Sigma</t>
  </si>
  <si>
    <t xml:space="preserve">This course guides learners through the Define and Measure phases of the Lean Six Sigma DMAIC framework in supply chain and operations contexts.  
In Define, learners translate the Voice of the Customer (VOC) into Critical-to-Quality (CTQ) requirements, frame a problem with clear scope and measurable goals aligned to business objectives, and plan the work using project basics captured in a project charter.  
In Measure, learners document the current process and establish a defensible baseline by selecting measurement approaches, designing data collection plans, and using descriptive statistics and graphical summaries to characterize performance and variation.  
This course is designed to feed a continuous scenario/simulation across the data series: artifacts created here (problem framing, charter elements, baseline/current-state evidence) carry forward into later courses and culminate in a final business report performance assessment. If a full simulation is not feasible, a lower-fidelity scenario approach (e.g., AI-enabled scenario xblocks or other WGU ecosystem tools that provide structured prompts and feedback) can be used while still producing the same core artifacts.  </t>
  </si>
  <si>
    <t>E125</t>
  </si>
  <si>
    <t>Adapting to Ambiguity</t>
  </si>
  <si>
    <t>Adapting to Ambiguity prepares students to navigate ambiguous situations in uncertain and rapidly changing environments. Students will collaborate with peers as they develop a proactive mindset toward ambiguity and learn how to approach ambiguous situations through adaptability, clarity, and creative problem-solving. This course enables students to apply tools for reframing ambiguous situations, creating a vision for success, planning incremental steps, and adapting to both personal and professional situations as growth opportunities. In addition, students will explore the importance of a professional portfolio and how to curate artifacts for a given purpose and career goal.</t>
  </si>
  <si>
    <t>C483</t>
  </si>
  <si>
    <t>Principles of Management</t>
  </si>
  <si>
    <t>Principles of Management provides students with an introductory look at the discipline of management and its context within the business environment. Students of this course build on previously mastered competencies by taking a more in-depth look at management as a discipline and how it differs from leadership while further exploring the importance of communication within business. This course provides students with a business generalist overview in the areas of strategic planning, total quality, entrepreneurship, conflict and change, human resource management, diversity, and organizational structure.</t>
  </si>
  <si>
    <t>Exploring Data for Solutions in Lean Six Sigma</t>
  </si>
  <si>
    <t xml:space="preserve">This course advances the continuous DMAIC framework by focusing on the Analyze and Improve phases in supply chain and operations contexts. Learners use data to identify likely drivers of performance gaps, apply structured root-cause methods (including variable identification, process/quality tools, and FMEA-style risk thinking) and then test hypotheses using statistical techniques to confirm or refute suspected causes.  
Building on the baseline and data collection plan from the Define/Measure course, learners interpret analytical results to recommend improvements and select a defensible course of action (e.g., prioritizing solutions using a selection matrix and planning how improvements will be trialed/piloted).  </t>
  </si>
  <si>
    <t>D078</t>
  </si>
  <si>
    <t>Business Environment I: Business Structures and Legal Environments</t>
  </si>
  <si>
    <t>Business Environment Applications 1 provides students with a generalist overview of the business environment and a deeper look at a number of topics that make up the non-discipline areas of business which are required for a business person to be successful within any business environment. The first part of the course focuses on knowledge about organizations and how people operate within organizations, including the areas of organizational theory, structure, and effectiveness. The course then looks at business from a legal perspective with an overview of the legal environment of business. The course will prepare the student to consider specific legal situations and to make legal and ethical decisions related to those situations.</t>
  </si>
  <si>
    <t>E126</t>
  </si>
  <si>
    <t>Empathy and Inclusive Collaboration</t>
  </si>
  <si>
    <t>Empathy and Inclusive Collaboration guides students toward understanding the value and benefits of culturally diverse groups, identifying their own implicit and explicit biases, and applying strategies to overcome these biases. Students will learn to leverage diverse perspectives, ensure inclusivity, apply empathetic listening strategies, and build collaborative work groups. Students will learn that having multiple perspectives is imperative to being a creative and innovative problem-solver and developing inclusive solutions. Students will develop an awareness of power disparity, an ability to decentralize their own perspectives, and the knowledge of how to seek deeper context on issues rather than act through implicit bias.</t>
  </si>
  <si>
    <t>D428</t>
  </si>
  <si>
    <t>Design Thinking for Business</t>
  </si>
  <si>
    <t>Design Thinking for Business examines the design thinking methodology for solving complex problems. This course introduces students to design thinking as a human-centered approach to problem-solving and innovation that draws upon empathy and creativity to develop solutions to complex problems. Students will explore the principles and stages of design thinking and analyze the use of design thinking in developing solutions through real-world scenarios.</t>
  </si>
  <si>
    <t>Implementing Effective Solutions in Lean Six Sigma</t>
  </si>
  <si>
    <t xml:space="preserve">This course completes the DMAIC process focus by addressing the Control phase and deepening Lean as a culture and leadership approach (a point which was strongly emphasized by academic partners and program design SME). Learners demonstrate the ability to sustain improvements by selecting and interpreting control charts, recognizing common vs special cause variation, and defining how the organization will monitor and respond to process performance over time. Learners then produce a control plan that documents the improvement work and operationalizes ongoing monitoring, including roles/ownership, triggers, and response actions.  
The course also expands Lean beyond individual tools by emphasizing culture, tradeoffs, and contextual decision-making (e.g., when a Lean tool such as just-in-time may or may not fit given real-world constraints like supply chain disruptions). As the “capstone” of the data analytics series of courses, artifacts created here finalize the series business report and prepare learners to sit for Green Belt-aligned expectations (knowledge and learning), while keeping the program’s focus on supply chain and operations management. </t>
  </si>
  <si>
    <t>D775</t>
  </si>
  <si>
    <t>Introduction to Business Finance</t>
  </si>
  <si>
    <t>Introduction to Business Finance provides students with an introductory look at the discipline of finance and its context within the business environment. This course will help students gain an understanding of the systems, structure, roles, and impact of finance in business. Students will also gain an understanding of the uses of financial ratios, the application of the time value of money concepts, and capital budgeting in business. This course provides the student a business generalist overview of the field of finance. The prerequisite for this course is Introduction to Business Accounting.</t>
  </si>
  <si>
    <t>C458</t>
  </si>
  <si>
    <t>Health, Fitness, and Wellness</t>
  </si>
  <si>
    <t>Health, Fitness, and Wellness focuses on the importance and foundations of good health and physical fitness—particularly for children and adolescents—addressing health, nutrition, fitness, and substance use and abuse.</t>
  </si>
  <si>
    <t>C273</t>
  </si>
  <si>
    <t>Intro to Sociology</t>
  </si>
  <si>
    <t>This course teaches students to think like sociologists, or, in other words, to see and understand the hidden rules, or norms, by which people live, and how they free or restrain behavior. Students will learn about socializing institutions, such as schools and families, as well as workplace organizations and governments. Participants will also learn how people deviate from the rules by challenging norms and how such behavior may result in social change, either on a large scale or within small groups.</t>
  </si>
  <si>
    <t>D077</t>
  </si>
  <si>
    <t>Concepts in Marketing, Sales &amp; Customer Contact</t>
  </si>
  <si>
    <t>Concepts in Marketing, Sales, and Customer Contact introduces students to the discipline of marketing and its role within the strategic and operational environments of a business. This course covers fundamental knowledge in the area of marketing planning, including the marketing mix, while also describing basic concepts of brand management, digital marketing, customer relationship management, and personal selling and negotiating. All of this helps students identify the role of marketing within an organization. This course provides students with a business generalist overview of the field of marketing and an exploration of the marketing major.</t>
  </si>
  <si>
    <t>Managing Operations</t>
  </si>
  <si>
    <t xml:space="preserve">This course is a redevelopment of the current D464 Managing Operations course. It introduces operations management as the first core supply chain and operations course in the program sequence. It establishes foundational language and mental models (processes, systems, capacity, flow, quality, performance) while remaining appropriately introductory. Learners evaluate how operations creates value across business functions and begin applying analysis concepts through capacity planning and process design—areas that SMEs noted are especially challenging for learners without prior operations experience.  
Learners analyze how supply chain interfaces with operations and apply data-informed reasoning using performance metrics. The course also addresses ethical and sustainable operating models, including how sustainability is measured (e.g., ESG-style metrics) and how tradeoffs are managed in real operations decisions.  
Where appropriate, the course introduces how AI-enabled tools can augment operations analysis (e.g., forecasting, anomaly detection, optimization, governance), with expectations scaled to the assessment approach.  </t>
  </si>
  <si>
    <t>E127</t>
  </si>
  <si>
    <t>Navigating Complex Problems</t>
  </si>
  <si>
    <t>Navigating Complex Problems introduces students to problem-solving techniques needed to address organizational challenges and implement solutions for desired results. Students will identify the data required to define complex problems, differentiate between short- and long-term problems, and develop strategies for resolution. Students will focus on root cause analysis, ethics and biases, communications, and the steps to strategically solve problems, while learning how to create an implementation plan for stakeholders.</t>
  </si>
  <si>
    <t>D266</t>
  </si>
  <si>
    <t>World History: Diverse Cultures and Global Connections</t>
  </si>
  <si>
    <t>This is World History: Diverse Cultures and Global Connections. In this course, you will focus on three main topics—cultural and religious diversity; pandemics; and the relationship of empires and nation states—as well as the skills of identifying root causes, explaining causes and effects, and analyzing complex systems. This course consists of an introduction and four major sections. Each section includes learning opportunities through reading, images, videos, and other relevant resources. Assessment activities with feedback also provide opportunities to practice and check how well you understand the content. Because the course is self-paced, you may move through the material as quickly or as slowly as you need to, with the goal of demonstrating proficiency in the four competencies covered in the final assessment. If you have no prior knowledge of this material, you can expect to spend 30-40 hours on the course content.</t>
  </si>
  <si>
    <t>D470</t>
  </si>
  <si>
    <t>Transportation Logistics &amp; Distribution</t>
  </si>
  <si>
    <t xml:space="preserve">This course examines the planning and management of transportation, logistics, and distribution within an integrated supply chain, with emphasis on requirements and risks, facilities and inventory, strategy and supply chain synchronicity, efficiencies and costs, and the laws and regulations that shape transportation and distribution decisions. 
Learners explore warehousing and warehouse management and how distribution choices influence inventory flow and service performance, while monitoring scope to avoid course bloat and redundancies. </t>
  </si>
  <si>
    <t>D351</t>
  </si>
  <si>
    <t>Functions of Human Resource Management</t>
  </si>
  <si>
    <t>Human resource management is where strategy and people come together. This course introduces you to the full scope of HR functions, including workforce planning, talent acquisition, compensation, employee development, labor relations, and workplace safety. By understanding how these functions work together, you will see how HR professionals influence both business results and the employee experience.</t>
  </si>
  <si>
    <t>D361</t>
  </si>
  <si>
    <t>Business Simulation</t>
  </si>
  <si>
    <t>This course ties together all the skills and knowledge covered in the business courses and allows the student to prove their mastery of the competencies by applying them in a simulated business environment. This course will help take the student's knowledge and skills from the theoretical to applicable.</t>
  </si>
  <si>
    <t>21st Century Operations and Supply Chain</t>
  </si>
  <si>
    <t xml:space="preserve">21st Century Operations and Supply Chain explores modern issues in supply chain management. Building on the supply chain landscape introduced in prior courses, this course addresses more complex supply chain and operations issues. The course examines how disruptions transform operations and the supply chain and how to use qualitative and quantitative data to evaluate solutions. </t>
  </si>
  <si>
    <t>D270</t>
  </si>
  <si>
    <t>Composition: Successful Self-Expression</t>
  </si>
  <si>
    <t>Welcome to Composition: Successful Self-Expression! In this course, you will focus on four main topics: professional writing for a cross-cultural audience, narrowing research topics and questions, researching for content to support a topic, and referencing research sources. Each section includes learning opportunities through readings, videos, audio, and other relevant resources. Assessment activities with feedback also provide opportunities to check your learning, practice, and show how well you understand course content. Because the course is self-paced, you may move through the material as quickly or as slowly as you need to gain proficiency in the seven competencies that will be covered in the final assessment. If you have no prior knowledge or experience, you can expect to spend 30-40 hours on the course content. You will demonstrate competency through a performance assessment. There is no prerequisite for this course and there is no specific technical knowledge needed.</t>
  </si>
  <si>
    <t>C165</t>
  </si>
  <si>
    <t>Integrated Physical Sciences</t>
  </si>
  <si>
    <t>This course provides students with an overview of the basic principles and unifying ideas of the physical sciences: physics, chemistry, and earth sciences. Course materials focus on scientific reasoning and practical, everyday applications of physical science concepts to help students integrate conceptual knowledge with practical skills.</t>
  </si>
  <si>
    <t>Supply Chain and Operations Management Applied Learning Capstone</t>
  </si>
  <si>
    <t xml:space="preserve">This course is an Applied Learning Capstone for which the learner will work on a real-world project with a company sponsor through PeopleGrove. The course material should mirror the D384 Marketing Experiential Capstone.  
The course synthesizes skills and knowledge gained across the program while guiding learners to create a professional persona via a personal brand. The course prepares learners for their real-world work experience project with common workplace skills—time management, communication, collaboration, etc. The Marketing Experiential Capstone is the template for this course.  
**Note: An ideal state of this course serves as a template for future WSB Applied Learning Capstones, which will likely become common as programs are revised to focus on workforce readiness. Program-specific elements of the course should be modular and appropriately called out to facilitate ease of customization for future reuse.  </t>
  </si>
  <si>
    <t>Total CU</t>
  </si>
  <si>
    <t>Type</t>
  </si>
  <si>
    <t>Owner</t>
  </si>
  <si>
    <t xml:space="preserve">Designation </t>
  </si>
  <si>
    <t>Certificates</t>
  </si>
  <si>
    <t xml:space="preserve">Enter Name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</si>
</sst>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font>
      <sz val="11"/>
      <color theme="1"/>
      <name val="Calibri"/>
      <family val="2"/>
      <scheme val="minor"/>
    </font>
    <font>
      <b/>
      <sz val="11"/>
      <color theme="1"/>
      <name val="Calibri"/>
      <family val="2"/>
      <scheme val="minor"/>
    </font>
    <font>
      <b/>
      <sz val="11"/>
      <color rgb="FF000000"/>
      <name val="Calibri"/>
      <charset val="1"/>
    </font>
    <font>
      <sz val="11"/>
      <color rgb="FF000000"/>
      <name val="Calibri"/>
      <charset val="1"/>
    </font>
    <font>
      <sz val="11"/>
      <color rgb="FF000000"/>
      <name val="Calibri"/>
      <scheme val="minor"/>
    </font>
    <font>
      <b/>
      <sz val="11"/>
      <color rgb="FF000000"/>
      <name val="Calibri"/>
      <scheme val="minor"/>
    </font>
    <font>
      <sz val="9"/>
      <color indexed="81"/>
      <name val="Tahoma"/>
      <family val="2"/>
    </font>
    <font>
      <sz val="11"/>
      <color theme="9" tint="-0.249977111117893"/>
      <name val="Calibri"/>
      <family val="2"/>
      <scheme val="minor"/>
    </font>
    <font>
      <b/>
      <sz val="14"/>
      <color rgb="FF000000"/>
      <name val="Roboto"/>
    </font>
    <font>
      <sz val="9"/>
      <color theme="1"/>
      <name val="Cambria"/>
      <family val="1"/>
      <charset val="1"/>
    </font>
    <font>
      <strike/>
      <sz val="11"/>
      <color theme="1"/>
      <name val="Calibri"/>
      <family val="2"/>
      <scheme val="minor"/>
    </font>
    <font>
      <sz val="11"/>
      <color rgb="FF000000"/>
      <name val="Calibri"/>
      <family val="2"/>
    </font>
    <font>
      <strike/>
      <sz val="9"/>
      <color theme="1"/>
      <name val="Cambria"/>
      <family val="1"/>
      <charset val="1"/>
    </font>
    <font>
      <sz val="10"/>
      <color theme="1"/>
      <name val="Cambria"/>
      <family val="1"/>
      <charset val="1"/>
    </font>
  </fonts>
  <fills count="21">
    <fill>
      <patternFill patternType="none"/>
    </fill>
    <fill>
      <patternFill patternType="gray125"/>
    </fill>
    <fill>
      <patternFill patternType="solid">
        <fgColor theme="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rgb="FFFCE0FF"/>
        <bgColor indexed="64"/>
      </patternFill>
    </fill>
    <fill>
      <patternFill patternType="solid">
        <fgColor rgb="FFABFFE9"/>
        <bgColor indexed="64"/>
      </patternFill>
    </fill>
    <fill>
      <patternFill patternType="solid">
        <fgColor rgb="FF92D050"/>
        <bgColor indexed="64"/>
      </patternFill>
    </fill>
    <fill>
      <patternFill patternType="solid">
        <fgColor theme="5" tint="0.39997558519241921"/>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bgColor indexed="64"/>
      </patternFill>
    </fill>
  </fills>
  <borders count="5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medium">
        <color rgb="FF000000"/>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medium">
        <color rgb="FF000000"/>
      </left>
      <right/>
      <top style="medium">
        <color rgb="FF000000"/>
      </top>
      <bottom/>
      <diagonal/>
    </border>
    <border>
      <left/>
      <right/>
      <top style="medium">
        <color rgb="FF000000"/>
      </top>
      <bottom/>
      <diagonal/>
    </border>
    <border>
      <left style="thin">
        <color rgb="FF000000"/>
      </left>
      <right style="medium">
        <color rgb="FF000000"/>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top style="thin">
        <color rgb="FF000000"/>
      </top>
      <bottom style="thin">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medium">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thin">
        <color rgb="FF000000"/>
      </right>
      <top style="medium">
        <color rgb="FF000000"/>
      </top>
      <bottom/>
      <diagonal/>
    </border>
    <border>
      <left/>
      <right style="thin">
        <color rgb="FF000000"/>
      </right>
      <top style="medium">
        <color rgb="FF000000"/>
      </top>
      <bottom style="thin">
        <color rgb="FF000000"/>
      </bottom>
      <diagonal/>
    </border>
    <border>
      <left/>
      <right style="thin">
        <color rgb="FF000000"/>
      </right>
      <top style="thin">
        <color rgb="FF000000"/>
      </top>
      <bottom/>
      <diagonal/>
    </border>
    <border>
      <left/>
      <right style="thin">
        <color rgb="FF000000"/>
      </right>
      <top style="medium">
        <color rgb="FF000000"/>
      </top>
      <bottom style="medium">
        <color rgb="FF000000"/>
      </bottom>
      <diagonal/>
    </border>
    <border>
      <left/>
      <right style="thin">
        <color rgb="FF000000"/>
      </right>
      <top/>
      <bottom style="thin">
        <color rgb="FF000000"/>
      </bottom>
      <diagonal/>
    </border>
    <border>
      <left/>
      <right style="thin">
        <color rgb="FF000000"/>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thin">
        <color rgb="FF000000"/>
      </top>
      <bottom style="thin">
        <color rgb="FF000000"/>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rgb="FF4472C4"/>
      </left>
      <right style="thin">
        <color rgb="FF4472C4"/>
      </right>
      <top style="thin">
        <color rgb="FF4472C4"/>
      </top>
      <bottom style="thin">
        <color rgb="FF4472C4"/>
      </bottom>
      <diagonal/>
    </border>
    <border>
      <left/>
      <right style="thin">
        <color indexed="64"/>
      </right>
      <top/>
      <bottom/>
      <diagonal/>
    </border>
    <border>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s>
  <cellStyleXfs count="1">
    <xf numFmtId="0" fontId="0" fillId="0" borderId="0"/>
  </cellStyleXfs>
  <cellXfs count="233">
    <xf numFmtId="0" fontId="0" fillId="0" borderId="0" xfId="0"/>
    <xf numFmtId="0" fontId="0" fillId="2" borderId="0" xfId="0" applyFill="1"/>
    <xf numFmtId="0" fontId="0" fillId="0" borderId="0" xfId="0" applyAlignment="1">
      <alignment wrapText="1"/>
    </xf>
    <xf numFmtId="0" fontId="1" fillId="0" borderId="0" xfId="0" applyFont="1"/>
    <xf numFmtId="0" fontId="0" fillId="0" borderId="0" xfId="0" applyAlignment="1">
      <alignment horizontal="center"/>
    </xf>
    <xf numFmtId="0" fontId="1" fillId="0" borderId="1" xfId="0" applyFont="1" applyBorder="1"/>
    <xf numFmtId="0" fontId="0" fillId="0" borderId="1" xfId="0" applyBorder="1"/>
    <xf numFmtId="0" fontId="0" fillId="0" borderId="3" xfId="0" applyBorder="1"/>
    <xf numFmtId="0" fontId="0" fillId="0" borderId="1" xfId="0" applyBorder="1" applyAlignment="1">
      <alignment vertical="center" wrapText="1"/>
    </xf>
    <xf numFmtId="0" fontId="0" fillId="0" borderId="1" xfId="0" applyBorder="1" applyAlignment="1">
      <alignment horizontal="center" vertical="center" wrapText="1"/>
    </xf>
    <xf numFmtId="10" fontId="0" fillId="0" borderId="1" xfId="0" applyNumberFormat="1" applyBorder="1" applyAlignment="1">
      <alignment horizontal="center" vertical="center" wrapText="1"/>
    </xf>
    <xf numFmtId="0" fontId="0" fillId="0" borderId="1" xfId="0" applyBorder="1" applyAlignment="1">
      <alignment wrapText="1"/>
    </xf>
    <xf numFmtId="9" fontId="0" fillId="0" borderId="1" xfId="0" applyNumberForma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xf>
    <xf numFmtId="0" fontId="0" fillId="0" borderId="2" xfId="0" applyBorder="1"/>
    <xf numFmtId="0" fontId="0" fillId="0" borderId="2" xfId="0" applyBorder="1" applyAlignment="1">
      <alignment horizontal="center" vertical="center" wrapText="1"/>
    </xf>
    <xf numFmtId="0" fontId="1" fillId="0" borderId="4" xfId="0" applyFont="1" applyBorder="1"/>
    <xf numFmtId="0" fontId="0" fillId="0" borderId="4" xfId="0" applyBorder="1"/>
    <xf numFmtId="0" fontId="0" fillId="0" borderId="5" xfId="0" applyBorder="1" applyAlignment="1">
      <alignment horizontal="center" vertical="center"/>
    </xf>
    <xf numFmtId="0" fontId="0" fillId="0" borderId="5" xfId="0" applyBorder="1"/>
    <xf numFmtId="0" fontId="0" fillId="0" borderId="6" xfId="0" applyBorder="1"/>
    <xf numFmtId="0" fontId="1" fillId="0" borderId="10" xfId="0" applyFont="1" applyBorder="1" applyAlignment="1">
      <alignment horizontal="center" vertical="center" wrapText="1"/>
    </xf>
    <xf numFmtId="0" fontId="0" fillId="0" borderId="5" xfId="0" applyBorder="1" applyAlignment="1">
      <alignment horizontal="center"/>
    </xf>
    <xf numFmtId="0" fontId="0" fillId="0" borderId="10" xfId="0" applyBorder="1" applyAlignment="1">
      <alignment horizontal="center" vertical="center" wrapText="1"/>
    </xf>
    <xf numFmtId="0" fontId="0" fillId="0" borderId="5" xfId="0" applyBorder="1" applyAlignment="1">
      <alignment wrapText="1"/>
    </xf>
    <xf numFmtId="0" fontId="0" fillId="0" borderId="10" xfId="0" applyBorder="1" applyAlignment="1">
      <alignment horizontal="center" vertical="center"/>
    </xf>
    <xf numFmtId="0" fontId="0" fillId="0" borderId="2" xfId="0" applyBorder="1" applyAlignment="1">
      <alignment wrapText="1"/>
    </xf>
    <xf numFmtId="10" fontId="0" fillId="0" borderId="10" xfId="0" applyNumberFormat="1" applyBorder="1" applyAlignment="1">
      <alignment horizontal="center" vertical="center" wrapText="1"/>
    </xf>
    <xf numFmtId="10" fontId="0" fillId="0" borderId="11" xfId="0" applyNumberFormat="1" applyBorder="1" applyAlignment="1">
      <alignment horizontal="center" vertical="center" wrapText="1"/>
    </xf>
    <xf numFmtId="0" fontId="1" fillId="3" borderId="12" xfId="0" applyFont="1" applyFill="1" applyBorder="1" applyAlignment="1">
      <alignment vertical="center" wrapText="1"/>
    </xf>
    <xf numFmtId="0" fontId="1" fillId="0" borderId="17" xfId="0" applyFont="1" applyBorder="1" applyAlignment="1">
      <alignment horizontal="center" vertical="center" wrapText="1"/>
    </xf>
    <xf numFmtId="0" fontId="1" fillId="0" borderId="20" xfId="0" applyFont="1" applyBorder="1" applyAlignment="1">
      <alignment horizontal="center" vertical="center" wrapText="1"/>
    </xf>
    <xf numFmtId="0" fontId="0" fillId="0" borderId="5" xfId="0" applyBorder="1" applyAlignment="1">
      <alignment vertical="center" wrapText="1"/>
    </xf>
    <xf numFmtId="0" fontId="0" fillId="0" borderId="6" xfId="0" applyBorder="1" applyAlignment="1">
      <alignment horizontal="center" vertical="center" wrapText="1"/>
    </xf>
    <xf numFmtId="0" fontId="0" fillId="0" borderId="17" xfId="0" applyBorder="1" applyAlignment="1">
      <alignment horizontal="center" vertical="center" wrapText="1"/>
    </xf>
    <xf numFmtId="0" fontId="0" fillId="0" borderId="6" xfId="0" applyBorder="1" applyAlignment="1">
      <alignment wrapText="1"/>
    </xf>
    <xf numFmtId="0" fontId="0" fillId="0" borderId="5" xfId="0" applyBorder="1" applyAlignment="1">
      <alignment horizontal="center" vertical="center" wrapText="1"/>
    </xf>
    <xf numFmtId="10" fontId="0" fillId="0" borderId="17" xfId="0" applyNumberFormat="1" applyBorder="1" applyAlignment="1">
      <alignment horizontal="center" vertical="center" wrapText="1"/>
    </xf>
    <xf numFmtId="10" fontId="0" fillId="0" borderId="5" xfId="0" applyNumberFormat="1" applyBorder="1" applyAlignment="1">
      <alignment horizontal="center" vertical="center" wrapText="1"/>
    </xf>
    <xf numFmtId="0" fontId="0" fillId="2" borderId="27" xfId="0" applyFill="1" applyBorder="1"/>
    <xf numFmtId="0" fontId="0" fillId="2" borderId="28" xfId="0" applyFill="1" applyBorder="1"/>
    <xf numFmtId="0" fontId="0" fillId="0" borderId="27" xfId="0" applyBorder="1"/>
    <xf numFmtId="0" fontId="0" fillId="0" borderId="28" xfId="0" applyBorder="1"/>
    <xf numFmtId="0" fontId="1" fillId="0" borderId="8" xfId="0" applyFont="1" applyBorder="1" applyAlignment="1">
      <alignment horizontal="center" vertical="center" wrapText="1"/>
    </xf>
    <xf numFmtId="0" fontId="0" fillId="0" borderId="9" xfId="0" applyBorder="1" applyAlignment="1">
      <alignment vertical="center" wrapText="1"/>
    </xf>
    <xf numFmtId="0" fontId="0" fillId="0" borderId="13" xfId="0" applyBorder="1" applyAlignment="1">
      <alignment horizontal="center" vertical="center" wrapText="1"/>
    </xf>
    <xf numFmtId="0" fontId="0" fillId="0" borderId="8" xfId="0" applyBorder="1" applyAlignment="1">
      <alignment horizontal="center" vertical="center" wrapText="1"/>
    </xf>
    <xf numFmtId="0" fontId="0" fillId="0" borderId="13" xfId="0" applyBorder="1" applyAlignment="1">
      <alignment wrapText="1"/>
    </xf>
    <xf numFmtId="0" fontId="0" fillId="0" borderId="9" xfId="0" applyBorder="1" applyAlignment="1">
      <alignment horizontal="center" vertical="center" wrapText="1"/>
    </xf>
    <xf numFmtId="10" fontId="0" fillId="0" borderId="9" xfId="0" applyNumberFormat="1" applyBorder="1" applyAlignment="1">
      <alignment horizontal="center" vertical="center" wrapText="1"/>
    </xf>
    <xf numFmtId="0" fontId="1" fillId="0" borderId="21" xfId="0" applyFont="1" applyBorder="1" applyAlignment="1">
      <alignment horizontal="center" vertical="center" wrapText="1"/>
    </xf>
    <xf numFmtId="0" fontId="1" fillId="0" borderId="22" xfId="0" applyFont="1" applyBorder="1" applyAlignment="1">
      <alignment horizontal="center" vertical="center" wrapText="1"/>
    </xf>
    <xf numFmtId="0" fontId="1" fillId="0" borderId="25" xfId="0" applyFont="1" applyBorder="1" applyAlignment="1">
      <alignment horizontal="center" vertical="center" wrapText="1"/>
    </xf>
    <xf numFmtId="9" fontId="0" fillId="0" borderId="5" xfId="0" applyNumberFormat="1" applyBorder="1" applyAlignment="1">
      <alignment horizontal="center" vertical="center" wrapText="1"/>
    </xf>
    <xf numFmtId="9" fontId="0" fillId="0" borderId="18" xfId="0" applyNumberFormat="1" applyBorder="1" applyAlignment="1">
      <alignment horizontal="center" vertical="center" wrapText="1"/>
    </xf>
    <xf numFmtId="0" fontId="1" fillId="3" borderId="35" xfId="0" applyFont="1" applyFill="1" applyBorder="1" applyAlignment="1">
      <alignment vertical="center" wrapText="1"/>
    </xf>
    <xf numFmtId="0" fontId="1" fillId="3" borderId="36" xfId="0" applyFont="1" applyFill="1" applyBorder="1" applyAlignment="1">
      <alignment horizontal="center" vertical="center" wrapText="1"/>
    </xf>
    <xf numFmtId="0" fontId="0" fillId="3" borderId="37" xfId="0" applyFill="1" applyBorder="1" applyAlignment="1">
      <alignment horizontal="center" vertical="center" wrapText="1"/>
    </xf>
    <xf numFmtId="0" fontId="0" fillId="3" borderId="36" xfId="0" applyFill="1" applyBorder="1" applyAlignment="1">
      <alignment wrapText="1"/>
    </xf>
    <xf numFmtId="0" fontId="0" fillId="3" borderId="35" xfId="0" applyFill="1" applyBorder="1" applyAlignment="1">
      <alignment horizontal="center" vertical="center" wrapText="1"/>
    </xf>
    <xf numFmtId="0" fontId="0" fillId="3" borderId="36" xfId="0" applyFill="1" applyBorder="1" applyAlignment="1">
      <alignment horizontal="center" vertical="center" wrapText="1"/>
    </xf>
    <xf numFmtId="10" fontId="0" fillId="3" borderId="37" xfId="0" applyNumberFormat="1" applyFill="1" applyBorder="1" applyAlignment="1">
      <alignment horizontal="center" vertical="center" wrapText="1"/>
    </xf>
    <xf numFmtId="10" fontId="0" fillId="3" borderId="35" xfId="0" applyNumberFormat="1" applyFill="1" applyBorder="1" applyAlignment="1">
      <alignment horizontal="center" vertical="center" wrapText="1"/>
    </xf>
    <xf numFmtId="10" fontId="0" fillId="3" borderId="38" xfId="0" applyNumberFormat="1" applyFill="1" applyBorder="1" applyAlignment="1">
      <alignment horizontal="center" vertical="center" wrapText="1"/>
    </xf>
    <xf numFmtId="0" fontId="1" fillId="3" borderId="14" xfId="0" applyFont="1" applyFill="1" applyBorder="1" applyAlignment="1">
      <alignment horizontal="center" vertical="center" wrapText="1"/>
    </xf>
    <xf numFmtId="0" fontId="1" fillId="3" borderId="15" xfId="0" applyFont="1" applyFill="1" applyBorder="1" applyAlignment="1">
      <alignment horizontal="center" vertical="center" wrapText="1"/>
    </xf>
    <xf numFmtId="0" fontId="1" fillId="3" borderId="19" xfId="0" applyFont="1" applyFill="1" applyBorder="1" applyAlignment="1">
      <alignment horizontal="center" vertical="center" wrapText="1"/>
    </xf>
    <xf numFmtId="0" fontId="1" fillId="3" borderId="19" xfId="0" applyFont="1" applyFill="1" applyBorder="1" applyAlignment="1">
      <alignment horizontal="right" wrapText="1"/>
    </xf>
    <xf numFmtId="10" fontId="1" fillId="3" borderId="14" xfId="0" applyNumberFormat="1" applyFont="1" applyFill="1" applyBorder="1" applyAlignment="1">
      <alignment horizontal="center" vertical="center" wrapText="1"/>
    </xf>
    <xf numFmtId="10" fontId="1" fillId="3" borderId="15" xfId="0" applyNumberFormat="1" applyFont="1" applyFill="1" applyBorder="1" applyAlignment="1">
      <alignment horizontal="center" vertical="center" wrapText="1"/>
    </xf>
    <xf numFmtId="10" fontId="1" fillId="3" borderId="16" xfId="0" applyNumberFormat="1" applyFont="1" applyFill="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vertical="center" wrapText="1"/>
    </xf>
    <xf numFmtId="0" fontId="0" fillId="0" borderId="7" xfId="0" applyBorder="1" applyAlignment="1">
      <alignment horizontal="center" vertical="center" wrapText="1"/>
    </xf>
    <xf numFmtId="0" fontId="0" fillId="0" borderId="31" xfId="0" applyBorder="1" applyAlignment="1">
      <alignment horizontal="center" vertical="center" wrapText="1"/>
    </xf>
    <xf numFmtId="0" fontId="0" fillId="0" borderId="7" xfId="0" applyBorder="1" applyAlignment="1">
      <alignment wrapText="1"/>
    </xf>
    <xf numFmtId="0" fontId="0" fillId="0" borderId="32" xfId="0" applyBorder="1" applyAlignment="1">
      <alignment horizontal="center" vertical="center" wrapText="1"/>
    </xf>
    <xf numFmtId="10" fontId="0" fillId="0" borderId="31" xfId="0" applyNumberFormat="1" applyBorder="1" applyAlignment="1">
      <alignment horizontal="center" vertical="center" wrapText="1"/>
    </xf>
    <xf numFmtId="10" fontId="0" fillId="0" borderId="32" xfId="0" applyNumberFormat="1" applyBorder="1" applyAlignment="1">
      <alignment horizontal="center" vertical="center" wrapText="1"/>
    </xf>
    <xf numFmtId="10" fontId="0" fillId="0" borderId="33" xfId="0" applyNumberFormat="1" applyBorder="1" applyAlignment="1">
      <alignment horizontal="center" vertical="center" wrapText="1"/>
    </xf>
    <xf numFmtId="9" fontId="1" fillId="3" borderId="14" xfId="0" applyNumberFormat="1" applyFont="1" applyFill="1" applyBorder="1" applyAlignment="1">
      <alignment horizontal="center" vertical="center" wrapText="1"/>
    </xf>
    <xf numFmtId="10" fontId="0" fillId="0" borderId="6" xfId="0" applyNumberFormat="1" applyBorder="1" applyAlignment="1">
      <alignment horizontal="center" vertical="center" wrapText="1"/>
    </xf>
    <xf numFmtId="9" fontId="0" fillId="0" borderId="2" xfId="0" applyNumberFormat="1" applyBorder="1" applyAlignment="1">
      <alignment horizontal="center" vertical="center" wrapText="1"/>
    </xf>
    <xf numFmtId="9" fontId="0" fillId="0" borderId="6" xfId="0" applyNumberFormat="1" applyBorder="1" applyAlignment="1">
      <alignment horizontal="center" vertical="center" wrapText="1"/>
    </xf>
    <xf numFmtId="10" fontId="0" fillId="0" borderId="2" xfId="0" applyNumberFormat="1" applyBorder="1" applyAlignment="1">
      <alignment horizontal="center" vertical="center" wrapText="1"/>
    </xf>
    <xf numFmtId="10" fontId="0" fillId="0" borderId="7" xfId="0" applyNumberFormat="1" applyBorder="1" applyAlignment="1">
      <alignment horizontal="center" vertical="center" wrapText="1"/>
    </xf>
    <xf numFmtId="10" fontId="0" fillId="0" borderId="2" xfId="0" applyNumberFormat="1" applyBorder="1" applyAlignment="1">
      <alignment horizontal="center" vertical="center"/>
    </xf>
    <xf numFmtId="0" fontId="1" fillId="0" borderId="40"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4" xfId="0" applyFont="1" applyBorder="1" applyAlignment="1">
      <alignment horizontal="center" vertical="center" wrapText="1"/>
    </xf>
    <xf numFmtId="0" fontId="1" fillId="0" borderId="42" xfId="0" applyFont="1" applyBorder="1" applyAlignment="1">
      <alignment horizontal="center" vertical="center" wrapText="1"/>
    </xf>
    <xf numFmtId="0" fontId="1" fillId="0" borderId="44" xfId="0" applyFont="1" applyBorder="1" applyAlignment="1">
      <alignment horizontal="center" vertical="center" wrapText="1"/>
    </xf>
    <xf numFmtId="0" fontId="1" fillId="3" borderId="45" xfId="0" applyFont="1" applyFill="1" applyBorder="1" applyAlignment="1">
      <alignment vertical="center" wrapText="1"/>
    </xf>
    <xf numFmtId="0" fontId="1" fillId="2" borderId="0" xfId="0" applyFont="1" applyFill="1"/>
    <xf numFmtId="0" fontId="1" fillId="0" borderId="29" xfId="0" applyFont="1" applyBorder="1"/>
    <xf numFmtId="0" fontId="1" fillId="0" borderId="30" xfId="0" applyFont="1" applyBorder="1"/>
    <xf numFmtId="0" fontId="0" fillId="5" borderId="0" xfId="0" applyFill="1"/>
    <xf numFmtId="0" fontId="0" fillId="6" borderId="0" xfId="0" applyFill="1"/>
    <xf numFmtId="0" fontId="0" fillId="3"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1" fillId="0" borderId="0" xfId="0" applyFont="1" applyAlignment="1">
      <alignment wrapText="1"/>
    </xf>
    <xf numFmtId="0" fontId="1" fillId="0" borderId="49" xfId="0" applyFont="1" applyBorder="1" applyAlignment="1">
      <alignment horizontal="center"/>
    </xf>
    <xf numFmtId="0" fontId="0" fillId="0" borderId="50" xfId="0" applyBorder="1"/>
    <xf numFmtId="0" fontId="1" fillId="0" borderId="50" xfId="0" applyFont="1" applyBorder="1"/>
    <xf numFmtId="0" fontId="2" fillId="0" borderId="0" xfId="0" applyFont="1"/>
    <xf numFmtId="0" fontId="3" fillId="0" borderId="0" xfId="0" applyFont="1"/>
    <xf numFmtId="0" fontId="4" fillId="0" borderId="0" xfId="0" applyFont="1" applyAlignment="1">
      <alignment wrapText="1"/>
    </xf>
    <xf numFmtId="0" fontId="5" fillId="0" borderId="0" xfId="0" applyFont="1"/>
    <xf numFmtId="0" fontId="0" fillId="12" borderId="0" xfId="0" applyFill="1"/>
    <xf numFmtId="0" fontId="0" fillId="13" borderId="0" xfId="0" applyFill="1"/>
    <xf numFmtId="0" fontId="0" fillId="14" borderId="0" xfId="0" applyFill="1"/>
    <xf numFmtId="0" fontId="4" fillId="0" borderId="0" xfId="0" applyFont="1"/>
    <xf numFmtId="1" fontId="0" fillId="0" borderId="9" xfId="0" applyNumberFormat="1" applyBorder="1" applyAlignment="1">
      <alignment horizontal="center" vertical="center" wrapText="1"/>
    </xf>
    <xf numFmtId="1" fontId="0" fillId="0" borderId="1" xfId="0" applyNumberFormat="1" applyBorder="1" applyAlignment="1">
      <alignment horizontal="center" vertical="center" wrapText="1"/>
    </xf>
    <xf numFmtId="1" fontId="0" fillId="0" borderId="32" xfId="0" applyNumberFormat="1" applyBorder="1" applyAlignment="1">
      <alignment horizontal="center" vertical="center" wrapText="1"/>
    </xf>
    <xf numFmtId="1" fontId="0" fillId="0" borderId="5" xfId="0" applyNumberFormat="1" applyBorder="1" applyAlignment="1">
      <alignment horizontal="center" vertical="center" wrapText="1"/>
    </xf>
    <xf numFmtId="1" fontId="0" fillId="0" borderId="1" xfId="0" applyNumberFormat="1" applyBorder="1" applyAlignment="1">
      <alignment horizontal="center" vertical="center"/>
    </xf>
    <xf numFmtId="1" fontId="0" fillId="0" borderId="8" xfId="0" applyNumberFormat="1" applyBorder="1" applyAlignment="1">
      <alignment horizontal="center" vertical="center" wrapText="1"/>
    </xf>
    <xf numFmtId="1" fontId="0" fillId="0" borderId="10" xfId="0" applyNumberFormat="1" applyBorder="1" applyAlignment="1">
      <alignment horizontal="center" vertical="center" wrapText="1"/>
    </xf>
    <xf numFmtId="1" fontId="0" fillId="0" borderId="31" xfId="0" applyNumberFormat="1" applyBorder="1" applyAlignment="1">
      <alignment horizontal="center" vertical="center" wrapText="1"/>
    </xf>
    <xf numFmtId="1" fontId="0" fillId="0" borderId="17" xfId="0" applyNumberFormat="1" applyBorder="1" applyAlignment="1">
      <alignment horizontal="center" vertical="center" wrapText="1"/>
    </xf>
    <xf numFmtId="1" fontId="0" fillId="0" borderId="9" xfId="0" applyNumberFormat="1" applyBorder="1" applyAlignment="1">
      <alignment horizontal="center" vertical="center"/>
    </xf>
    <xf numFmtId="10" fontId="0" fillId="0" borderId="13" xfId="0" applyNumberFormat="1" applyBorder="1" applyAlignment="1">
      <alignment horizontal="center" vertical="center"/>
    </xf>
    <xf numFmtId="0" fontId="0" fillId="3" borderId="0" xfId="0" applyFill="1" applyAlignment="1">
      <alignment wrapText="1"/>
    </xf>
    <xf numFmtId="0" fontId="0" fillId="15" borderId="27" xfId="0" applyFill="1" applyBorder="1"/>
    <xf numFmtId="0" fontId="0" fillId="15" borderId="0" xfId="0" applyFill="1"/>
    <xf numFmtId="0" fontId="0" fillId="15" borderId="28" xfId="0" applyFill="1" applyBorder="1"/>
    <xf numFmtId="0" fontId="1" fillId="15" borderId="0" xfId="0" applyFont="1" applyFill="1"/>
    <xf numFmtId="0" fontId="0" fillId="0" borderId="0" xfId="0" applyAlignment="1">
      <alignment horizontal="center" wrapText="1"/>
    </xf>
    <xf numFmtId="0" fontId="0" fillId="2" borderId="0" xfId="0" applyFill="1" applyAlignment="1">
      <alignment wrapText="1"/>
    </xf>
    <xf numFmtId="0" fontId="0" fillId="15" borderId="0" xfId="0" applyFill="1" applyAlignment="1">
      <alignment wrapText="1"/>
    </xf>
    <xf numFmtId="0" fontId="0" fillId="0" borderId="0" xfId="0" applyAlignment="1">
      <alignment vertical="top"/>
    </xf>
    <xf numFmtId="0" fontId="0" fillId="4" borderId="49" xfId="0" applyFill="1" applyBorder="1" applyAlignment="1">
      <alignment wrapText="1"/>
    </xf>
    <xf numFmtId="0" fontId="0" fillId="4" borderId="51" xfId="0" applyFill="1" applyBorder="1" applyAlignment="1">
      <alignment wrapText="1"/>
    </xf>
    <xf numFmtId="0" fontId="0" fillId="3" borderId="49" xfId="0" applyFill="1" applyBorder="1" applyAlignment="1">
      <alignment wrapText="1"/>
    </xf>
    <xf numFmtId="0" fontId="0" fillId="3" borderId="51" xfId="0" applyFill="1" applyBorder="1" applyAlignment="1">
      <alignment wrapText="1"/>
    </xf>
    <xf numFmtId="0" fontId="0" fillId="6" borderId="49" xfId="0" applyFill="1" applyBorder="1" applyAlignment="1">
      <alignment wrapText="1"/>
    </xf>
    <xf numFmtId="0" fontId="0" fillId="6" borderId="51" xfId="0" applyFill="1" applyBorder="1" applyAlignment="1">
      <alignment wrapText="1"/>
    </xf>
    <xf numFmtId="0" fontId="8" fillId="0" borderId="0" xfId="0" applyFont="1" applyAlignment="1">
      <alignment horizontal="center" wrapText="1"/>
    </xf>
    <xf numFmtId="0" fontId="1" fillId="0" borderId="0" xfId="0" applyFont="1" applyAlignment="1">
      <alignment horizontal="center" wrapText="1"/>
    </xf>
    <xf numFmtId="0" fontId="0" fillId="0" borderId="52" xfId="0" applyBorder="1" applyAlignment="1">
      <alignment wrapText="1"/>
    </xf>
    <xf numFmtId="0" fontId="1" fillId="0" borderId="52" xfId="0" applyFont="1" applyBorder="1" applyAlignment="1">
      <alignment wrapText="1"/>
    </xf>
    <xf numFmtId="0" fontId="0" fillId="14" borderId="52" xfId="0" applyFill="1" applyBorder="1" applyAlignment="1">
      <alignment wrapText="1"/>
    </xf>
    <xf numFmtId="0" fontId="1" fillId="0" borderId="52" xfId="0" applyFont="1" applyBorder="1"/>
    <xf numFmtId="0" fontId="0" fillId="14" borderId="52" xfId="0" applyFill="1" applyBorder="1"/>
    <xf numFmtId="0" fontId="0" fillId="0" borderId="52" xfId="0" applyBorder="1"/>
    <xf numFmtId="0" fontId="0" fillId="7" borderId="52" xfId="0" applyFill="1" applyBorder="1"/>
    <xf numFmtId="0" fontId="1" fillId="15" borderId="0" xfId="0" applyFont="1" applyFill="1" applyAlignment="1">
      <alignment vertical="top"/>
    </xf>
    <xf numFmtId="0" fontId="0" fillId="15" borderId="0" xfId="0" applyFill="1" applyAlignment="1">
      <alignment horizontal="center" wrapText="1"/>
    </xf>
    <xf numFmtId="0" fontId="1" fillId="15" borderId="0" xfId="0" applyFont="1" applyFill="1" applyAlignment="1">
      <alignment horizontal="center" wrapText="1"/>
    </xf>
    <xf numFmtId="0" fontId="8" fillId="15" borderId="0" xfId="0" applyFont="1" applyFill="1" applyAlignment="1">
      <alignment horizontal="center" wrapText="1"/>
    </xf>
    <xf numFmtId="0" fontId="1" fillId="19" borderId="4" xfId="0" applyFont="1" applyFill="1" applyBorder="1" applyAlignment="1">
      <alignment horizontal="center" vertical="center" wrapText="1"/>
    </xf>
    <xf numFmtId="0" fontId="1" fillId="12" borderId="4" xfId="0" applyFont="1" applyFill="1" applyBorder="1" applyAlignment="1">
      <alignment horizontal="center" vertical="center" wrapText="1"/>
    </xf>
    <xf numFmtId="0" fontId="1" fillId="19" borderId="42" xfId="0" applyFont="1" applyFill="1" applyBorder="1" applyAlignment="1">
      <alignment horizontal="center" vertical="center" wrapText="1"/>
    </xf>
    <xf numFmtId="0" fontId="9" fillId="0" borderId="0" xfId="0" applyFont="1" applyAlignment="1">
      <alignment wrapText="1"/>
    </xf>
    <xf numFmtId="0" fontId="9" fillId="0" borderId="53" xfId="0" applyFont="1" applyBorder="1" applyAlignment="1">
      <alignment wrapText="1"/>
    </xf>
    <xf numFmtId="0" fontId="0" fillId="7" borderId="52" xfId="0" applyFill="1" applyBorder="1" applyAlignment="1">
      <alignment wrapText="1"/>
    </xf>
    <xf numFmtId="0" fontId="10" fillId="7" borderId="0" xfId="0" applyFont="1" applyFill="1"/>
    <xf numFmtId="0" fontId="10" fillId="7" borderId="0" xfId="0" applyFont="1" applyFill="1" applyAlignment="1">
      <alignment wrapText="1"/>
    </xf>
    <xf numFmtId="0" fontId="10" fillId="0" borderId="0" xfId="0" applyFont="1"/>
    <xf numFmtId="0" fontId="10" fillId="0" borderId="0" xfId="0" applyFont="1" applyAlignment="1">
      <alignment wrapText="1"/>
    </xf>
    <xf numFmtId="0" fontId="11" fillId="0" borderId="0" xfId="0" applyFont="1" applyAlignment="1">
      <alignment wrapText="1"/>
    </xf>
    <xf numFmtId="0" fontId="12" fillId="0" borderId="0" xfId="0" applyFont="1" applyAlignment="1">
      <alignment wrapText="1"/>
    </xf>
    <xf numFmtId="0" fontId="13" fillId="0" borderId="0" xfId="0" applyFont="1" applyAlignment="1">
      <alignment wrapText="1"/>
    </xf>
    <xf numFmtId="2" fontId="0" fillId="0" borderId="13" xfId="0" applyNumberFormat="1" applyBorder="1" applyAlignment="1">
      <alignment horizontal="center" vertical="center" wrapText="1"/>
    </xf>
    <xf numFmtId="2" fontId="0" fillId="0" borderId="2" xfId="0" applyNumberFormat="1" applyBorder="1" applyAlignment="1">
      <alignment horizontal="center" vertical="center" wrapText="1"/>
    </xf>
    <xf numFmtId="164" fontId="0" fillId="0" borderId="2" xfId="0" applyNumberFormat="1" applyBorder="1" applyAlignment="1">
      <alignment horizontal="center" vertical="center" wrapText="1"/>
    </xf>
    <xf numFmtId="1" fontId="0" fillId="0" borderId="10" xfId="0" applyNumberFormat="1" applyBorder="1" applyAlignment="1">
      <alignment horizontal="center" vertical="center"/>
    </xf>
    <xf numFmtId="10" fontId="0" fillId="0" borderId="1" xfId="0" applyNumberFormat="1" applyBorder="1" applyAlignment="1">
      <alignment horizontal="center" vertical="center"/>
    </xf>
    <xf numFmtId="0" fontId="1" fillId="0" borderId="23" xfId="0" applyFont="1" applyBorder="1" applyAlignment="1">
      <alignment horizontal="center" wrapText="1"/>
    </xf>
    <xf numFmtId="0" fontId="1" fillId="0" borderId="24" xfId="0" applyFont="1" applyBorder="1" applyAlignment="1">
      <alignment horizontal="center"/>
    </xf>
    <xf numFmtId="0" fontId="1" fillId="0" borderId="26" xfId="0" applyFont="1" applyBorder="1" applyAlignment="1">
      <alignment horizontal="center"/>
    </xf>
    <xf numFmtId="0" fontId="1" fillId="0" borderId="29" xfId="0" applyFont="1" applyBorder="1" applyAlignment="1">
      <alignment horizontal="center"/>
    </xf>
    <xf numFmtId="0" fontId="1" fillId="0" borderId="23" xfId="0" applyFont="1" applyBorder="1" applyAlignment="1">
      <alignment horizontal="center" vertical="center"/>
    </xf>
    <xf numFmtId="0" fontId="1" fillId="0" borderId="24" xfId="0" applyFont="1" applyBorder="1" applyAlignment="1">
      <alignment horizontal="center" vertical="center"/>
    </xf>
    <xf numFmtId="0" fontId="1" fillId="0" borderId="24" xfId="0" applyFont="1" applyBorder="1" applyAlignment="1">
      <alignment horizontal="center" wrapText="1"/>
    </xf>
    <xf numFmtId="0" fontId="1" fillId="0" borderId="26" xfId="0" applyFont="1" applyBorder="1" applyAlignment="1">
      <alignment horizontal="center" wrapText="1"/>
    </xf>
    <xf numFmtId="0" fontId="1" fillId="0" borderId="24" xfId="0" applyFont="1" applyBorder="1" applyAlignment="1">
      <alignment horizontal="center" vertical="center" wrapText="1"/>
    </xf>
    <xf numFmtId="0" fontId="1" fillId="0" borderId="26" xfId="0" applyFont="1" applyBorder="1" applyAlignment="1">
      <alignment horizontal="center" vertical="center" wrapText="1"/>
    </xf>
    <xf numFmtId="0" fontId="1" fillId="0" borderId="29" xfId="0" applyFont="1" applyBorder="1" applyAlignment="1">
      <alignment horizontal="center" wrapText="1"/>
    </xf>
    <xf numFmtId="0" fontId="1" fillId="0" borderId="30" xfId="0" applyFont="1" applyBorder="1" applyAlignment="1">
      <alignment horizontal="center"/>
    </xf>
    <xf numFmtId="0" fontId="1" fillId="0" borderId="26" xfId="0" applyFont="1" applyBorder="1" applyAlignment="1">
      <alignment horizontal="center" vertical="center"/>
    </xf>
    <xf numFmtId="0" fontId="1" fillId="0" borderId="39" xfId="0" applyFont="1" applyBorder="1" applyAlignment="1">
      <alignment horizontal="center" vertical="center"/>
    </xf>
    <xf numFmtId="0" fontId="1" fillId="0" borderId="46" xfId="0" applyFont="1" applyBorder="1" applyAlignment="1">
      <alignment horizontal="center" vertical="center"/>
    </xf>
    <xf numFmtId="0" fontId="1" fillId="0" borderId="47" xfId="0" applyFont="1" applyBorder="1" applyAlignment="1">
      <alignment horizontal="center" vertical="center"/>
    </xf>
    <xf numFmtId="0" fontId="0" fillId="0" borderId="28" xfId="0" applyBorder="1" applyAlignment="1">
      <alignment horizontal="center" wrapText="1"/>
    </xf>
    <xf numFmtId="0" fontId="1" fillId="0" borderId="28" xfId="0" applyFont="1" applyBorder="1" applyAlignment="1">
      <alignment horizontal="center"/>
    </xf>
    <xf numFmtId="0" fontId="1" fillId="0" borderId="27" xfId="0" applyFont="1" applyBorder="1" applyAlignment="1">
      <alignment horizontal="center"/>
    </xf>
    <xf numFmtId="0" fontId="1" fillId="0" borderId="0" xfId="0" applyFont="1" applyAlignment="1">
      <alignment horizontal="center"/>
    </xf>
    <xf numFmtId="0" fontId="1" fillId="0" borderId="20" xfId="0" applyFont="1" applyBorder="1" applyAlignment="1">
      <alignment horizontal="center" vertical="center" wrapText="1"/>
    </xf>
    <xf numFmtId="0" fontId="0" fillId="0" borderId="0" xfId="0" applyAlignment="1">
      <alignment horizontal="center" wrapText="1"/>
    </xf>
    <xf numFmtId="0" fontId="8" fillId="0" borderId="0" xfId="0" applyFont="1" applyAlignment="1">
      <alignment horizontal="center" wrapText="1"/>
    </xf>
    <xf numFmtId="0" fontId="1" fillId="15" borderId="0" xfId="0" applyFont="1" applyFill="1" applyAlignment="1">
      <alignment horizontal="center" wrapText="1"/>
    </xf>
    <xf numFmtId="0" fontId="0" fillId="9" borderId="0" xfId="0" applyFill="1" applyAlignment="1">
      <alignment horizontal="left" vertical="center" wrapText="1"/>
    </xf>
    <xf numFmtId="0" fontId="0" fillId="15" borderId="0" xfId="0" applyFill="1" applyAlignment="1">
      <alignment horizontal="left" vertical="center" wrapText="1"/>
    </xf>
    <xf numFmtId="0" fontId="0" fillId="2" borderId="0" xfId="0" applyFill="1" applyAlignment="1">
      <alignment horizontal="center" vertical="center" wrapText="1"/>
    </xf>
    <xf numFmtId="0" fontId="0" fillId="0" borderId="0" xfId="0" applyAlignment="1">
      <alignment horizontal="center"/>
    </xf>
    <xf numFmtId="0" fontId="0" fillId="0" borderId="0" xfId="0" applyAlignment="1">
      <alignment horizontal="center" vertical="top" wrapText="1"/>
    </xf>
    <xf numFmtId="0" fontId="0" fillId="16" borderId="0" xfId="0" applyFill="1" applyAlignment="1">
      <alignment horizontal="left" vertical="center" wrapText="1"/>
    </xf>
    <xf numFmtId="0" fontId="0" fillId="18" borderId="0" xfId="0" applyFill="1" applyAlignment="1">
      <alignment horizontal="center" vertical="center" wrapText="1"/>
    </xf>
    <xf numFmtId="0" fontId="0" fillId="8" borderId="0" xfId="0" applyFill="1" applyAlignment="1">
      <alignment horizontal="center" vertical="center" wrapText="1"/>
    </xf>
    <xf numFmtId="0" fontId="1" fillId="17" borderId="0" xfId="0" applyFont="1" applyFill="1"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xf>
    <xf numFmtId="0" fontId="0" fillId="3" borderId="0" xfId="0" applyFill="1" applyAlignment="1">
      <alignment horizontal="left" vertical="top" wrapText="1"/>
    </xf>
    <xf numFmtId="0" fontId="0" fillId="3" borderId="54" xfId="0" applyFill="1" applyBorder="1" applyAlignment="1">
      <alignment horizontal="left" vertical="top" wrapText="1"/>
    </xf>
    <xf numFmtId="9" fontId="0" fillId="2" borderId="34" xfId="0" applyNumberFormat="1" applyFill="1" applyBorder="1" applyAlignment="1">
      <alignment horizontal="center" vertical="center" wrapText="1"/>
    </xf>
    <xf numFmtId="9" fontId="0" fillId="2" borderId="48" xfId="0" applyNumberFormat="1" applyFill="1" applyBorder="1" applyAlignment="1">
      <alignment horizontal="center" vertical="center" wrapText="1"/>
    </xf>
    <xf numFmtId="9" fontId="0" fillId="2" borderId="55" xfId="0" applyNumberFormat="1" applyFill="1" applyBorder="1" applyAlignment="1">
      <alignment horizontal="center" vertical="center" wrapText="1"/>
    </xf>
    <xf numFmtId="10" fontId="0" fillId="2" borderId="56" xfId="0" applyNumberFormat="1" applyFill="1" applyBorder="1" applyAlignment="1">
      <alignment horizontal="center" vertical="center" wrapText="1"/>
    </xf>
    <xf numFmtId="10" fontId="0" fillId="2" borderId="57" xfId="0" applyNumberFormat="1" applyFill="1" applyBorder="1" applyAlignment="1">
      <alignment horizontal="center" vertical="center" wrapText="1"/>
    </xf>
    <xf numFmtId="10" fontId="0" fillId="2" borderId="58" xfId="0" applyNumberFormat="1" applyFill="1" applyBorder="1" applyAlignment="1">
      <alignment horizontal="center" vertical="center" wrapText="1"/>
    </xf>
    <xf numFmtId="0" fontId="1" fillId="3" borderId="14" xfId="0" applyFont="1" applyFill="1" applyBorder="1" applyAlignment="1">
      <alignment horizontal="center" vertical="center" wrapText="1"/>
    </xf>
    <xf numFmtId="0" fontId="1" fillId="3" borderId="43" xfId="0" applyFont="1" applyFill="1" applyBorder="1" applyAlignment="1">
      <alignment horizontal="center" vertical="center" wrapText="1"/>
    </xf>
    <xf numFmtId="0" fontId="1" fillId="3" borderId="15" xfId="0" applyFont="1" applyFill="1" applyBorder="1" applyAlignment="1">
      <alignment horizontal="center" vertical="center" wrapText="1"/>
    </xf>
    <xf numFmtId="0" fontId="1" fillId="0" borderId="21" xfId="0" applyFont="1" applyBorder="1" applyAlignment="1">
      <alignment horizontal="center" vertical="center"/>
    </xf>
    <xf numFmtId="0" fontId="1" fillId="0" borderId="25" xfId="0" applyFont="1" applyBorder="1" applyAlignment="1">
      <alignment horizontal="center" vertical="center"/>
    </xf>
    <xf numFmtId="0" fontId="1" fillId="0" borderId="22" xfId="0" applyFont="1" applyBorder="1" applyAlignment="1">
      <alignment horizontal="center" vertical="center"/>
    </xf>
    <xf numFmtId="10" fontId="0" fillId="2" borderId="34" xfId="0" applyNumberFormat="1" applyFill="1" applyBorder="1" applyAlignment="1">
      <alignment horizontal="center" vertical="center" wrapText="1"/>
    </xf>
    <xf numFmtId="10" fontId="0" fillId="2" borderId="48" xfId="0" applyNumberFormat="1" applyFill="1" applyBorder="1" applyAlignment="1">
      <alignment horizontal="center" vertical="center" wrapText="1"/>
    </xf>
    <xf numFmtId="10" fontId="0" fillId="2" borderId="55" xfId="0" applyNumberFormat="1" applyFill="1" applyBorder="1" applyAlignment="1">
      <alignment horizontal="center" vertical="center" wrapText="1"/>
    </xf>
    <xf numFmtId="0" fontId="0" fillId="2" borderId="0" xfId="0" applyFill="1" applyAlignment="1">
      <alignment horizontal="center"/>
    </xf>
    <xf numFmtId="0" fontId="0" fillId="2" borderId="28" xfId="0" applyFill="1" applyBorder="1" applyAlignment="1">
      <alignment horizontal="center"/>
    </xf>
    <xf numFmtId="0" fontId="0" fillId="0" borderId="28" xfId="0" applyBorder="1" applyAlignment="1">
      <alignment horizontal="center"/>
    </xf>
    <xf numFmtId="0" fontId="0" fillId="15" borderId="0" xfId="0" applyFill="1" applyAlignment="1">
      <alignment horizontal="center"/>
    </xf>
    <xf numFmtId="0" fontId="0" fillId="15" borderId="28" xfId="0" applyFill="1" applyBorder="1" applyAlignment="1">
      <alignment horizontal="center"/>
    </xf>
    <xf numFmtId="0" fontId="1" fillId="20" borderId="0" xfId="0" applyFont="1" applyFill="1"/>
    <xf numFmtId="0" fontId="0" fillId="20" borderId="0" xfId="0" applyFill="1"/>
  </cellXfs>
  <cellStyles count="1">
    <cellStyle name="Normal" xfId="0" builtinId="0"/>
  </cellStyles>
  <dxfs count="20">
    <dxf>
      <font>
        <color theme="0"/>
      </font>
      <fill>
        <patternFill patternType="solid">
          <bgColor rgb="FF167048"/>
        </patternFill>
      </fill>
    </dxf>
    <dxf>
      <font>
        <color theme="0"/>
      </font>
      <fill>
        <patternFill patternType="solid">
          <bgColor rgb="FF00B0F0"/>
        </patternFill>
      </fill>
    </dxf>
    <dxf>
      <font>
        <color theme="0"/>
      </font>
      <fill>
        <patternFill patternType="solid">
          <bgColor rgb="FF0070C0"/>
        </patternFill>
      </fill>
    </dxf>
    <dxf>
      <font>
        <color theme="0"/>
      </font>
      <fill>
        <patternFill patternType="solid">
          <bgColor rgb="FFFF00C8"/>
        </patternFill>
      </fill>
    </dxf>
    <dxf>
      <font>
        <color theme="1"/>
      </font>
      <fill>
        <patternFill patternType="solid">
          <bgColor rgb="FFBFFF80"/>
        </patternFill>
      </fill>
    </dxf>
    <dxf>
      <font>
        <color theme="1"/>
      </font>
      <fill>
        <patternFill patternType="solid">
          <bgColor theme="5" tint="0.59999389629810485"/>
        </patternFill>
      </fill>
    </dxf>
    <dxf>
      <font>
        <color theme="0"/>
      </font>
      <fill>
        <patternFill patternType="solid">
          <bgColor theme="5" tint="-0.499984740745262"/>
        </patternFill>
      </fill>
    </dxf>
    <dxf>
      <font>
        <color theme="0"/>
      </font>
      <fill>
        <patternFill patternType="solid">
          <bgColor theme="7" tint="-0.249977111117893"/>
        </patternFill>
      </fill>
    </dxf>
    <dxf>
      <font>
        <color theme="1"/>
      </font>
      <fill>
        <patternFill patternType="solid">
          <bgColor rgb="FFFFFF00"/>
        </patternFill>
      </fill>
    </dxf>
    <dxf>
      <font>
        <color theme="1"/>
      </font>
      <fill>
        <patternFill patternType="solid">
          <bgColor theme="0" tint="-4.9989318521683403E-2"/>
        </patternFill>
      </fill>
    </dxf>
    <dxf>
      <font>
        <color theme="1"/>
      </font>
      <fill>
        <patternFill patternType="solid">
          <bgColor rgb="FFC591FF"/>
        </patternFill>
      </fill>
    </dxf>
    <dxf>
      <font>
        <color theme="0"/>
      </font>
      <fill>
        <patternFill patternType="solid">
          <bgColor theme="4" tint="-0.499984740745262"/>
        </patternFill>
      </fill>
    </dxf>
    <dxf>
      <font>
        <color theme="1"/>
      </font>
      <fill>
        <patternFill patternType="solid">
          <bgColor theme="9" tint="0.79998168889431442"/>
        </patternFill>
      </fill>
    </dxf>
    <dxf>
      <font>
        <color theme="1"/>
      </font>
      <fill>
        <patternFill patternType="solid">
          <bgColor rgb="FF00FFDD"/>
        </patternFill>
      </fill>
    </dxf>
    <dxf>
      <font>
        <color theme="1"/>
      </font>
      <fill>
        <patternFill patternType="solid">
          <bgColor theme="7"/>
        </patternFill>
      </fill>
    </dxf>
    <dxf>
      <font>
        <color theme="0"/>
      </font>
      <fill>
        <patternFill patternType="solid">
          <bgColor theme="9"/>
        </patternFill>
      </fill>
    </dxf>
    <dxf>
      <font>
        <color theme="1"/>
      </font>
      <fill>
        <patternFill patternType="solid">
          <bgColor rgb="FF00EAFF"/>
        </patternFill>
      </fill>
    </dxf>
    <dxf>
      <font>
        <color theme="0"/>
      </font>
      <fill>
        <patternFill patternType="solid">
          <bgColor rgb="FF7030A0"/>
        </patternFill>
      </fill>
    </dxf>
    <dxf>
      <fill>
        <patternFill patternType="solid">
          <bgColor rgb="FFFFC7CE"/>
        </patternFill>
      </fill>
    </dxf>
    <dxf>
      <font>
        <color theme="1"/>
      </font>
      <fill>
        <patternFill patternType="solid">
          <bgColor theme="7" tint="0.79998168889431442"/>
        </patternFill>
      </fill>
    </dxf>
  </dxfs>
  <tableStyles count="0" defaultTableStyle="TableStyleMedium2" defaultPivotStyle="PivotStyleMedium9"/>
  <colors>
    <mruColors>
      <color rgb="FFF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66675</xdr:colOff>
      <xdr:row>12</xdr:row>
      <xdr:rowOff>219075</xdr:rowOff>
    </xdr:from>
    <xdr:to>
      <xdr:col>15</xdr:col>
      <xdr:colOff>209550</xdr:colOff>
      <xdr:row>15</xdr:row>
      <xdr:rowOff>171450</xdr:rowOff>
    </xdr:to>
    <xdr:pic>
      <xdr:nvPicPr>
        <xdr:cNvPr id="4" name="Picture 3">
          <a:extLst>
            <a:ext uri="{FF2B5EF4-FFF2-40B4-BE49-F238E27FC236}">
              <a16:creationId xmlns:a16="http://schemas.microsoft.com/office/drawing/2014/main" id="{5DB919F1-C786-36BB-579F-AA2511115E9D}"/>
            </a:ext>
          </a:extLst>
        </xdr:cNvPr>
        <xdr:cNvPicPr>
          <a:picLocks noChangeAspect="1"/>
        </xdr:cNvPicPr>
      </xdr:nvPicPr>
      <xdr:blipFill>
        <a:blip xmlns:r="http://schemas.openxmlformats.org/officeDocument/2006/relationships" r:embed="rId1"/>
        <a:stretch>
          <a:fillRect/>
        </a:stretch>
      </xdr:blipFill>
      <xdr:spPr>
        <a:xfrm>
          <a:off x="10353675" y="2695575"/>
          <a:ext cx="8572500" cy="7143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3613227-DB77-4628-A8EB-BA8A8F9CB473}">
  <we:reference id="WA200009404" version="1.0.0.8" store="en-us" storeType="omex"/>
  <we:alternateReferences>
    <we:reference id="WA200009404" version="1.0.0.8" store="en-us" storeType="omex"/>
  </we:alternateReferences>
  <we:properties>
    <we:property name="claude.fileId" value="&quot;b80de181-594e-4c9a-a6c4-7e211685a992&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8249F-1F00-40D7-B90C-300D9750A254}">
  <dimension ref="A1:H236"/>
  <sheetViews>
    <sheetView workbookViewId="0">
      <selection activeCell="D1" sqref="D1:D1048576"/>
    </sheetView>
    <sheetView workbookViewId="1">
      <selection activeCell="A25" sqref="A25"/>
    </sheetView>
  </sheetViews>
  <sheetFormatPr defaultRowHeight="15" customHeight="1"/>
  <cols>
    <col min="1" max="1" width="9" customWidth="1"/>
    <col min="2" max="2" width="45.42578125" customWidth="1"/>
    <col min="3" max="3" width="84" customWidth="1"/>
    <col min="4" max="4" width="23.7109375" customWidth="1"/>
    <col min="5" max="6" width="27.140625" customWidth="1"/>
    <col min="7" max="7" width="10.5703125" customWidth="1"/>
    <col min="8" max="8" width="11.5703125" customWidth="1"/>
  </cols>
  <sheetData>
    <row r="1" spans="1:8" ht="14.45">
      <c r="A1" s="3" t="s">
        <v>0</v>
      </c>
      <c r="B1" s="3" t="s">
        <v>1</v>
      </c>
      <c r="C1" s="3" t="s">
        <v>2</v>
      </c>
      <c r="D1" s="112" t="s">
        <v>3</v>
      </c>
      <c r="E1" s="3" t="s">
        <v>4</v>
      </c>
      <c r="F1" s="3" t="s">
        <v>5</v>
      </c>
      <c r="G1" s="3" t="s">
        <v>6</v>
      </c>
      <c r="H1" s="3" t="s">
        <v>7</v>
      </c>
    </row>
    <row r="2" spans="1:8" s="1" customFormat="1" ht="14.45">
      <c r="A2" s="1" t="s">
        <v>8</v>
      </c>
    </row>
    <row r="3" spans="1:8" ht="14.45">
      <c r="B3" t="s">
        <v>9</v>
      </c>
      <c r="C3" t="s">
        <v>10</v>
      </c>
      <c r="G3">
        <v>1</v>
      </c>
      <c r="H3" t="s">
        <v>11</v>
      </c>
    </row>
    <row r="4" spans="1:8" ht="14.45">
      <c r="B4" t="s">
        <v>12</v>
      </c>
      <c r="C4" t="s">
        <v>13</v>
      </c>
      <c r="G4">
        <v>3</v>
      </c>
      <c r="H4" t="s">
        <v>11</v>
      </c>
    </row>
    <row r="5" spans="1:8" ht="14.45">
      <c r="B5" t="s">
        <v>14</v>
      </c>
      <c r="C5" t="s">
        <v>15</v>
      </c>
      <c r="G5">
        <v>2</v>
      </c>
      <c r="H5" t="s">
        <v>11</v>
      </c>
    </row>
    <row r="6" spans="1:8" ht="14.45">
      <c r="B6" t="s">
        <v>16</v>
      </c>
      <c r="C6" t="s">
        <v>17</v>
      </c>
      <c r="G6">
        <v>3</v>
      </c>
      <c r="H6" t="s">
        <v>11</v>
      </c>
    </row>
    <row r="7" spans="1:8" ht="14.45">
      <c r="B7" t="s">
        <v>18</v>
      </c>
      <c r="C7" t="s">
        <v>19</v>
      </c>
      <c r="G7">
        <v>3</v>
      </c>
      <c r="H7" t="s">
        <v>11</v>
      </c>
    </row>
    <row r="8" spans="1:8" ht="14.45">
      <c r="B8" t="s">
        <v>20</v>
      </c>
      <c r="C8" t="s">
        <v>21</v>
      </c>
      <c r="G8">
        <v>4</v>
      </c>
      <c r="H8" t="s">
        <v>11</v>
      </c>
    </row>
    <row r="9" spans="1:8" s="1" customFormat="1" ht="14.45">
      <c r="A9" s="1" t="s">
        <v>22</v>
      </c>
    </row>
    <row r="10" spans="1:8" ht="14.45">
      <c r="B10" t="s">
        <v>23</v>
      </c>
      <c r="C10" t="s">
        <v>24</v>
      </c>
      <c r="G10">
        <v>3</v>
      </c>
      <c r="H10" s="195" t="s">
        <v>25</v>
      </c>
    </row>
    <row r="11" spans="1:8" ht="14.45">
      <c r="B11" t="s">
        <v>26</v>
      </c>
      <c r="C11" t="s">
        <v>27</v>
      </c>
      <c r="G11">
        <v>3</v>
      </c>
      <c r="H11" s="195"/>
    </row>
    <row r="12" spans="1:8" ht="14.45">
      <c r="B12" t="s">
        <v>28</v>
      </c>
      <c r="C12" t="s">
        <v>29</v>
      </c>
      <c r="G12">
        <v>3</v>
      </c>
      <c r="H12" s="195"/>
    </row>
    <row r="13" spans="1:8" ht="14.45">
      <c r="B13" t="s">
        <v>30</v>
      </c>
      <c r="C13" t="s">
        <v>31</v>
      </c>
      <c r="G13">
        <v>3</v>
      </c>
      <c r="H13" s="195"/>
    </row>
    <row r="14" spans="1:8" ht="14.45"/>
    <row r="15" spans="1:8" s="1" customFormat="1" ht="14.45">
      <c r="A15" s="1" t="s">
        <v>32</v>
      </c>
    </row>
    <row r="16" spans="1:8" ht="14.45">
      <c r="B16" t="s">
        <v>33</v>
      </c>
      <c r="C16" t="s">
        <v>34</v>
      </c>
      <c r="G16">
        <v>2</v>
      </c>
      <c r="H16" t="s">
        <v>35</v>
      </c>
    </row>
    <row r="17" spans="1:8" ht="14.45">
      <c r="B17" t="s">
        <v>36</v>
      </c>
      <c r="C17" t="s">
        <v>37</v>
      </c>
      <c r="G17">
        <v>3</v>
      </c>
      <c r="H17" t="s">
        <v>35</v>
      </c>
    </row>
    <row r="18" spans="1:8" ht="14.45">
      <c r="B18" t="s">
        <v>38</v>
      </c>
      <c r="C18" t="s">
        <v>39</v>
      </c>
      <c r="G18">
        <v>3</v>
      </c>
      <c r="H18" t="s">
        <v>35</v>
      </c>
    </row>
    <row r="19" spans="1:8" s="99" customFormat="1" ht="57.95">
      <c r="A19" s="99" t="s">
        <v>40</v>
      </c>
      <c r="C19" s="99" t="s">
        <v>41</v>
      </c>
      <c r="F19" s="128" t="s">
        <v>42</v>
      </c>
    </row>
    <row r="20" spans="1:8" ht="29.1">
      <c r="B20" t="s">
        <v>43</v>
      </c>
      <c r="C20" t="s">
        <v>44</v>
      </c>
      <c r="D20" t="s">
        <v>45</v>
      </c>
      <c r="F20" s="2" t="s">
        <v>46</v>
      </c>
    </row>
    <row r="21" spans="1:8" ht="87">
      <c r="B21" t="s">
        <v>47</v>
      </c>
      <c r="C21" t="s">
        <v>48</v>
      </c>
      <c r="D21" t="s">
        <v>45</v>
      </c>
      <c r="F21" s="2" t="s">
        <v>49</v>
      </c>
    </row>
    <row r="22" spans="1:8" ht="29.1">
      <c r="B22" t="s">
        <v>50</v>
      </c>
      <c r="C22" t="s">
        <v>51</v>
      </c>
      <c r="F22" s="2" t="s">
        <v>52</v>
      </c>
    </row>
    <row r="23" spans="1:8" ht="29.1">
      <c r="B23" t="s">
        <v>53</v>
      </c>
      <c r="C23" t="s">
        <v>54</v>
      </c>
      <c r="F23" s="2" t="s">
        <v>55</v>
      </c>
    </row>
    <row r="24" spans="1:8" ht="159.6">
      <c r="B24" t="s">
        <v>56</v>
      </c>
      <c r="C24" t="s">
        <v>57</v>
      </c>
      <c r="F24" s="2" t="s">
        <v>58</v>
      </c>
    </row>
    <row r="25" spans="1:8" s="1" customFormat="1" ht="14.45">
      <c r="A25" s="1" t="s">
        <v>59</v>
      </c>
    </row>
    <row r="26" spans="1:8" ht="14.45">
      <c r="B26" t="s">
        <v>60</v>
      </c>
      <c r="C26" t="s">
        <v>61</v>
      </c>
      <c r="G26">
        <v>2</v>
      </c>
      <c r="H26" t="s">
        <v>11</v>
      </c>
    </row>
    <row r="27" spans="1:8" ht="14.45">
      <c r="B27" t="s">
        <v>62</v>
      </c>
      <c r="C27" t="s">
        <v>63</v>
      </c>
      <c r="G27">
        <v>1</v>
      </c>
      <c r="H27" t="s">
        <v>11</v>
      </c>
    </row>
    <row r="28" spans="1:8" ht="14.45">
      <c r="B28" t="s">
        <v>64</v>
      </c>
      <c r="C28" t="s">
        <v>65</v>
      </c>
      <c r="G28">
        <v>1</v>
      </c>
      <c r="H28" t="s">
        <v>11</v>
      </c>
    </row>
    <row r="29" spans="1:8" ht="14.45">
      <c r="B29" t="s">
        <v>66</v>
      </c>
      <c r="C29" t="s">
        <v>67</v>
      </c>
      <c r="G29">
        <v>2</v>
      </c>
      <c r="H29" t="s">
        <v>11</v>
      </c>
    </row>
    <row r="30" spans="1:8" ht="14.45">
      <c r="B30" t="s">
        <v>68</v>
      </c>
      <c r="C30" t="s">
        <v>69</v>
      </c>
      <c r="G30">
        <v>2</v>
      </c>
      <c r="H30" t="s">
        <v>11</v>
      </c>
    </row>
    <row r="31" spans="1:8" ht="14.45">
      <c r="B31" t="s">
        <v>70</v>
      </c>
      <c r="C31" t="s">
        <v>71</v>
      </c>
      <c r="G31">
        <v>2</v>
      </c>
      <c r="H31" t="s">
        <v>11</v>
      </c>
    </row>
    <row r="32" spans="1:8" ht="14.45">
      <c r="B32" t="s">
        <v>72</v>
      </c>
      <c r="C32" t="s">
        <v>73</v>
      </c>
      <c r="G32">
        <v>2</v>
      </c>
      <c r="H32" t="s">
        <v>11</v>
      </c>
    </row>
    <row r="33" spans="1:8" s="1" customFormat="1" ht="14.45">
      <c r="A33" s="1" t="s">
        <v>74</v>
      </c>
    </row>
    <row r="34" spans="1:8" ht="14.45">
      <c r="B34" t="s">
        <v>75</v>
      </c>
      <c r="C34" t="s">
        <v>76</v>
      </c>
      <c r="G34">
        <v>1</v>
      </c>
      <c r="H34" t="s">
        <v>77</v>
      </c>
    </row>
    <row r="35" spans="1:8" ht="14.45">
      <c r="B35" t="s">
        <v>78</v>
      </c>
      <c r="C35" t="s">
        <v>79</v>
      </c>
      <c r="G35">
        <v>2</v>
      </c>
      <c r="H35" t="s">
        <v>77</v>
      </c>
    </row>
    <row r="36" spans="1:8" ht="14.45">
      <c r="B36" t="s">
        <v>80</v>
      </c>
      <c r="C36" t="s">
        <v>81</v>
      </c>
      <c r="G36">
        <v>1</v>
      </c>
      <c r="H36" t="s">
        <v>77</v>
      </c>
    </row>
    <row r="37" spans="1:8" ht="14.45">
      <c r="B37" t="s">
        <v>82</v>
      </c>
      <c r="C37" t="s">
        <v>83</v>
      </c>
      <c r="G37">
        <v>2</v>
      </c>
      <c r="H37" t="s">
        <v>77</v>
      </c>
    </row>
    <row r="38" spans="1:8" ht="14.45">
      <c r="B38" t="s">
        <v>84</v>
      </c>
      <c r="C38" t="s">
        <v>85</v>
      </c>
      <c r="G38">
        <v>2</v>
      </c>
      <c r="H38" t="s">
        <v>77</v>
      </c>
    </row>
    <row r="39" spans="1:8" ht="14.45">
      <c r="B39" t="s">
        <v>86</v>
      </c>
      <c r="C39" t="s">
        <v>87</v>
      </c>
      <c r="G39">
        <v>3</v>
      </c>
      <c r="H39" t="s">
        <v>77</v>
      </c>
    </row>
    <row r="40" spans="1:8" ht="14.45">
      <c r="B40" t="s">
        <v>88</v>
      </c>
      <c r="C40" t="s">
        <v>89</v>
      </c>
      <c r="G40">
        <v>2</v>
      </c>
      <c r="H40" t="s">
        <v>77</v>
      </c>
    </row>
    <row r="41" spans="1:8" s="1" customFormat="1" ht="14.45">
      <c r="A41" s="1" t="s">
        <v>90</v>
      </c>
    </row>
    <row r="42" spans="1:8" ht="14.45">
      <c r="B42" t="s">
        <v>91</v>
      </c>
      <c r="C42" t="s">
        <v>92</v>
      </c>
      <c r="G42">
        <v>2</v>
      </c>
      <c r="H42" t="s">
        <v>93</v>
      </c>
    </row>
    <row r="43" spans="1:8" ht="14.45">
      <c r="B43" t="s">
        <v>94</v>
      </c>
      <c r="C43" t="s">
        <v>95</v>
      </c>
      <c r="G43">
        <v>3</v>
      </c>
      <c r="H43" t="s">
        <v>93</v>
      </c>
    </row>
    <row r="44" spans="1:8" ht="14.45">
      <c r="B44" t="s">
        <v>96</v>
      </c>
      <c r="C44" t="s">
        <v>97</v>
      </c>
      <c r="G44">
        <v>3</v>
      </c>
      <c r="H44" t="s">
        <v>93</v>
      </c>
    </row>
    <row r="45" spans="1:8" ht="14.45">
      <c r="B45" t="s">
        <v>98</v>
      </c>
      <c r="C45" t="s">
        <v>99</v>
      </c>
      <c r="G45">
        <v>2</v>
      </c>
      <c r="H45" t="s">
        <v>93</v>
      </c>
    </row>
    <row r="46" spans="1:8" ht="14.45">
      <c r="B46" t="s">
        <v>100</v>
      </c>
      <c r="C46" t="s">
        <v>101</v>
      </c>
      <c r="G46">
        <v>3</v>
      </c>
      <c r="H46" t="s">
        <v>93</v>
      </c>
    </row>
    <row r="47" spans="1:8" ht="14.45">
      <c r="B47" t="s">
        <v>102</v>
      </c>
      <c r="C47" t="s">
        <v>103</v>
      </c>
      <c r="G47">
        <v>2</v>
      </c>
      <c r="H47" t="s">
        <v>93</v>
      </c>
    </row>
    <row r="48" spans="1:8" ht="14.45">
      <c r="B48" t="s">
        <v>104</v>
      </c>
      <c r="C48" t="s">
        <v>105</v>
      </c>
      <c r="G48">
        <v>3</v>
      </c>
      <c r="H48" t="s">
        <v>93</v>
      </c>
    </row>
    <row r="49" spans="1:8" ht="14.45">
      <c r="A49" s="1" t="s">
        <v>106</v>
      </c>
      <c r="B49" s="1"/>
      <c r="C49" s="1"/>
      <c r="D49" s="1"/>
      <c r="E49" s="1"/>
      <c r="F49" s="1"/>
      <c r="G49" s="1"/>
      <c r="H49" s="1"/>
    </row>
    <row r="50" spans="1:8" ht="14.45">
      <c r="B50" t="s">
        <v>107</v>
      </c>
      <c r="C50" t="s">
        <v>108</v>
      </c>
      <c r="G50">
        <v>2</v>
      </c>
      <c r="H50" t="s">
        <v>93</v>
      </c>
    </row>
    <row r="51" spans="1:8" ht="14.45">
      <c r="B51" t="s">
        <v>109</v>
      </c>
      <c r="C51" t="s">
        <v>110</v>
      </c>
      <c r="G51">
        <v>1</v>
      </c>
      <c r="H51" t="s">
        <v>93</v>
      </c>
    </row>
    <row r="52" spans="1:8" ht="14.45">
      <c r="B52" t="s">
        <v>111</v>
      </c>
      <c r="C52" t="s">
        <v>112</v>
      </c>
      <c r="G52">
        <v>2</v>
      </c>
      <c r="H52" t="s">
        <v>93</v>
      </c>
    </row>
    <row r="53" spans="1:8" ht="14.45">
      <c r="B53" t="s">
        <v>113</v>
      </c>
      <c r="C53" t="s">
        <v>114</v>
      </c>
      <c r="G53">
        <v>2</v>
      </c>
      <c r="H53" t="s">
        <v>93</v>
      </c>
    </row>
    <row r="54" spans="1:8" ht="14.45">
      <c r="A54" s="1" t="s">
        <v>115</v>
      </c>
      <c r="B54" s="1"/>
      <c r="C54" s="1"/>
      <c r="D54" s="1"/>
      <c r="E54" s="1"/>
      <c r="F54" s="1"/>
      <c r="G54" s="1"/>
      <c r="H54" s="1"/>
    </row>
    <row r="55" spans="1:8" ht="14.45">
      <c r="B55" t="s">
        <v>116</v>
      </c>
      <c r="C55" t="s">
        <v>117</v>
      </c>
      <c r="G55">
        <v>1</v>
      </c>
      <c r="H55" t="s">
        <v>11</v>
      </c>
    </row>
    <row r="56" spans="1:8" ht="14.45">
      <c r="B56" t="s">
        <v>118</v>
      </c>
      <c r="C56" t="s">
        <v>119</v>
      </c>
      <c r="G56">
        <v>1</v>
      </c>
      <c r="H56" t="s">
        <v>11</v>
      </c>
    </row>
    <row r="57" spans="1:8" ht="14.45">
      <c r="B57" t="s">
        <v>120</v>
      </c>
      <c r="C57" t="s">
        <v>121</v>
      </c>
      <c r="G57">
        <v>1</v>
      </c>
      <c r="H57" t="s">
        <v>11</v>
      </c>
    </row>
    <row r="58" spans="1:8" ht="14.45">
      <c r="A58" s="1" t="s">
        <v>122</v>
      </c>
      <c r="B58" s="1"/>
      <c r="C58" s="1"/>
      <c r="D58" s="1"/>
      <c r="E58" s="1"/>
      <c r="F58" s="1"/>
      <c r="G58" s="1"/>
      <c r="H58" s="1"/>
    </row>
    <row r="59" spans="1:8" ht="14.45">
      <c r="B59" t="s">
        <v>123</v>
      </c>
      <c r="C59" t="s">
        <v>124</v>
      </c>
      <c r="G59">
        <v>2</v>
      </c>
      <c r="H59" t="s">
        <v>11</v>
      </c>
    </row>
    <row r="60" spans="1:8" ht="14.45">
      <c r="B60" t="s">
        <v>125</v>
      </c>
      <c r="C60" t="s">
        <v>126</v>
      </c>
      <c r="G60">
        <v>2</v>
      </c>
      <c r="H60" t="s">
        <v>11</v>
      </c>
    </row>
    <row r="61" spans="1:8" ht="14.45">
      <c r="B61" t="s">
        <v>127</v>
      </c>
      <c r="C61" t="s">
        <v>128</v>
      </c>
      <c r="G61">
        <v>3</v>
      </c>
      <c r="H61" t="s">
        <v>11</v>
      </c>
    </row>
    <row r="62" spans="1:8" ht="14.45">
      <c r="B62" t="s">
        <v>129</v>
      </c>
      <c r="C62" t="s">
        <v>130</v>
      </c>
      <c r="G62">
        <v>3</v>
      </c>
      <c r="H62" t="s">
        <v>11</v>
      </c>
    </row>
    <row r="63" spans="1:8" ht="14.45">
      <c r="B63" t="s">
        <v>131</v>
      </c>
      <c r="C63" t="s">
        <v>132</v>
      </c>
      <c r="G63">
        <v>3</v>
      </c>
      <c r="H63" t="s">
        <v>11</v>
      </c>
    </row>
    <row r="64" spans="1:8" ht="14.45">
      <c r="B64" t="s">
        <v>133</v>
      </c>
      <c r="C64" t="s">
        <v>134</v>
      </c>
      <c r="G64">
        <v>3</v>
      </c>
      <c r="H64" t="s">
        <v>11</v>
      </c>
    </row>
    <row r="65" spans="1:8" s="99" customFormat="1" ht="14.45">
      <c r="A65" s="99" t="s">
        <v>135</v>
      </c>
    </row>
    <row r="66" spans="1:8" ht="14.45">
      <c r="B66" t="s">
        <v>136</v>
      </c>
      <c r="C66" s="2" t="s">
        <v>137</v>
      </c>
      <c r="D66" t="s">
        <v>45</v>
      </c>
    </row>
    <row r="67" spans="1:8" ht="29.1">
      <c r="B67" t="s">
        <v>138</v>
      </c>
      <c r="C67" s="2" t="s">
        <v>139</v>
      </c>
      <c r="D67" t="s">
        <v>45</v>
      </c>
    </row>
    <row r="68" spans="1:8" ht="29.1">
      <c r="B68" t="s">
        <v>140</v>
      </c>
      <c r="C68" s="2" t="s">
        <v>141</v>
      </c>
      <c r="D68" t="s">
        <v>45</v>
      </c>
    </row>
    <row r="69" spans="1:8" ht="14.45">
      <c r="A69" s="1" t="s">
        <v>142</v>
      </c>
      <c r="B69" s="1"/>
      <c r="C69" s="1"/>
      <c r="D69" s="1"/>
      <c r="E69" s="1"/>
      <c r="F69" s="1"/>
      <c r="G69" s="1"/>
      <c r="H69" s="1"/>
    </row>
    <row r="70" spans="1:8" ht="14.45">
      <c r="B70" t="s">
        <v>143</v>
      </c>
      <c r="C70" t="s">
        <v>144</v>
      </c>
      <c r="G70">
        <v>1</v>
      </c>
      <c r="H70" t="s">
        <v>93</v>
      </c>
    </row>
    <row r="71" spans="1:8" ht="14.45">
      <c r="B71" t="s">
        <v>145</v>
      </c>
      <c r="C71" t="s">
        <v>146</v>
      </c>
      <c r="G71">
        <v>1</v>
      </c>
      <c r="H71" t="s">
        <v>93</v>
      </c>
    </row>
    <row r="72" spans="1:8" ht="14.45">
      <c r="B72" t="s">
        <v>147</v>
      </c>
      <c r="C72" t="s">
        <v>148</v>
      </c>
      <c r="G72">
        <v>1</v>
      </c>
      <c r="H72" t="s">
        <v>93</v>
      </c>
    </row>
    <row r="73" spans="1:8" ht="14.45">
      <c r="B73" t="s">
        <v>149</v>
      </c>
      <c r="C73" t="s">
        <v>150</v>
      </c>
      <c r="G73">
        <v>1</v>
      </c>
      <c r="H73" t="s">
        <v>93</v>
      </c>
    </row>
    <row r="74" spans="1:8" ht="14.45">
      <c r="B74" t="s">
        <v>151</v>
      </c>
      <c r="C74" t="s">
        <v>152</v>
      </c>
      <c r="G74">
        <v>1</v>
      </c>
      <c r="H74" t="s">
        <v>93</v>
      </c>
    </row>
    <row r="75" spans="1:8" ht="14.45">
      <c r="B75" t="s">
        <v>153</v>
      </c>
      <c r="C75" t="s">
        <v>154</v>
      </c>
      <c r="G75">
        <v>1</v>
      </c>
      <c r="H75" t="s">
        <v>93</v>
      </c>
    </row>
    <row r="76" spans="1:8" ht="14.45">
      <c r="A76" s="1" t="s">
        <v>155</v>
      </c>
      <c r="B76" s="1"/>
      <c r="C76" s="1"/>
      <c r="D76" s="1"/>
      <c r="E76" s="1"/>
      <c r="F76" s="1"/>
      <c r="G76" s="1"/>
      <c r="H76" s="1"/>
    </row>
    <row r="77" spans="1:8" ht="14.45">
      <c r="B77" t="s">
        <v>156</v>
      </c>
      <c r="C77" t="s">
        <v>157</v>
      </c>
      <c r="G77">
        <v>1</v>
      </c>
      <c r="H77" t="s">
        <v>93</v>
      </c>
    </row>
    <row r="78" spans="1:8" ht="14.45">
      <c r="B78" t="s">
        <v>158</v>
      </c>
      <c r="C78" t="s">
        <v>159</v>
      </c>
      <c r="G78">
        <v>3</v>
      </c>
      <c r="H78" t="s">
        <v>93</v>
      </c>
    </row>
    <row r="79" spans="1:8" ht="14.45">
      <c r="B79" t="s">
        <v>160</v>
      </c>
      <c r="C79" t="s">
        <v>161</v>
      </c>
      <c r="G79">
        <v>4</v>
      </c>
      <c r="H79" t="s">
        <v>93</v>
      </c>
    </row>
    <row r="80" spans="1:8" ht="14.45">
      <c r="A80" s="1" t="s">
        <v>162</v>
      </c>
      <c r="B80" s="1"/>
      <c r="C80" s="1"/>
      <c r="D80" s="1"/>
      <c r="E80" s="1"/>
      <c r="F80" s="1"/>
      <c r="G80" s="1"/>
      <c r="H80" s="1"/>
    </row>
    <row r="81" spans="1:8" ht="14.45">
      <c r="B81" t="s">
        <v>163</v>
      </c>
      <c r="C81" t="s">
        <v>164</v>
      </c>
      <c r="G81">
        <v>1</v>
      </c>
      <c r="H81" t="s">
        <v>35</v>
      </c>
    </row>
    <row r="82" spans="1:8" ht="14.45">
      <c r="B82" t="s">
        <v>165</v>
      </c>
      <c r="C82" t="s">
        <v>166</v>
      </c>
      <c r="G82">
        <v>1</v>
      </c>
      <c r="H82" t="s">
        <v>35</v>
      </c>
    </row>
    <row r="83" spans="1:8" ht="14.45">
      <c r="B83" t="s">
        <v>167</v>
      </c>
      <c r="C83" t="s">
        <v>168</v>
      </c>
      <c r="G83">
        <v>1</v>
      </c>
      <c r="H83" t="s">
        <v>35</v>
      </c>
    </row>
    <row r="84" spans="1:8" ht="14.45">
      <c r="B84" t="s">
        <v>169</v>
      </c>
      <c r="C84" t="s">
        <v>170</v>
      </c>
      <c r="G84">
        <v>1</v>
      </c>
      <c r="H84" t="s">
        <v>35</v>
      </c>
    </row>
    <row r="85" spans="1:8" s="99" customFormat="1" ht="14.45">
      <c r="A85" s="99" t="s">
        <v>171</v>
      </c>
    </row>
    <row r="86" spans="1:8" ht="43.5">
      <c r="B86" t="s">
        <v>172</v>
      </c>
      <c r="C86" t="s">
        <v>173</v>
      </c>
      <c r="D86" t="s">
        <v>45</v>
      </c>
      <c r="F86" s="2" t="s">
        <v>174</v>
      </c>
    </row>
    <row r="87" spans="1:8" ht="14.45">
      <c r="B87" t="s">
        <v>175</v>
      </c>
      <c r="C87" t="s">
        <v>176</v>
      </c>
      <c r="D87" t="s">
        <v>45</v>
      </c>
    </row>
    <row r="88" spans="1:8" ht="14.45">
      <c r="B88" t="s">
        <v>177</v>
      </c>
      <c r="C88" t="s">
        <v>178</v>
      </c>
      <c r="D88" t="s">
        <v>45</v>
      </c>
    </row>
    <row r="89" spans="1:8" ht="57.95">
      <c r="B89" t="s">
        <v>179</v>
      </c>
      <c r="C89" t="s">
        <v>180</v>
      </c>
      <c r="F89" s="2" t="s">
        <v>181</v>
      </c>
    </row>
    <row r="90" spans="1:8" ht="14.45">
      <c r="A90" s="1" t="s">
        <v>182</v>
      </c>
      <c r="B90" s="1"/>
      <c r="C90" s="1"/>
      <c r="D90" s="1"/>
      <c r="E90" s="1"/>
      <c r="F90" s="1"/>
      <c r="G90" s="1"/>
      <c r="H90" s="1"/>
    </row>
    <row r="91" spans="1:8" ht="14.45">
      <c r="B91" t="s">
        <v>183</v>
      </c>
      <c r="C91" t="s">
        <v>184</v>
      </c>
      <c r="G91">
        <v>2</v>
      </c>
      <c r="H91" t="s">
        <v>93</v>
      </c>
    </row>
    <row r="92" spans="1:8" ht="14.45">
      <c r="B92" t="s">
        <v>185</v>
      </c>
      <c r="C92" t="s">
        <v>186</v>
      </c>
      <c r="G92">
        <v>2</v>
      </c>
      <c r="H92" t="s">
        <v>93</v>
      </c>
    </row>
    <row r="93" spans="1:8" ht="14.45">
      <c r="A93" s="1" t="s">
        <v>187</v>
      </c>
      <c r="B93" s="1"/>
      <c r="C93" s="1"/>
      <c r="D93" s="1"/>
      <c r="E93" s="1"/>
      <c r="F93" s="1"/>
      <c r="G93" s="1"/>
      <c r="H93" s="1"/>
    </row>
    <row r="94" spans="1:8" ht="14.45">
      <c r="B94" t="s">
        <v>188</v>
      </c>
      <c r="C94" t="s">
        <v>189</v>
      </c>
      <c r="G94">
        <v>2</v>
      </c>
      <c r="H94" t="s">
        <v>190</v>
      </c>
    </row>
    <row r="95" spans="1:8" ht="14.45">
      <c r="B95" t="s">
        <v>191</v>
      </c>
      <c r="C95" t="s">
        <v>192</v>
      </c>
      <c r="G95">
        <v>2</v>
      </c>
    </row>
    <row r="96" spans="1:8" ht="14.45">
      <c r="B96" t="s">
        <v>193</v>
      </c>
      <c r="C96" t="s">
        <v>194</v>
      </c>
      <c r="G96">
        <v>2</v>
      </c>
    </row>
    <row r="100" spans="1:8" s="99" customFormat="1" ht="43.5">
      <c r="A100" s="99" t="s">
        <v>195</v>
      </c>
      <c r="F100" s="128" t="s">
        <v>196</v>
      </c>
    </row>
    <row r="101" spans="1:8" ht="14.45">
      <c r="B101" t="s">
        <v>197</v>
      </c>
      <c r="C101" t="s">
        <v>198</v>
      </c>
      <c r="D101" t="s">
        <v>45</v>
      </c>
    </row>
    <row r="102" spans="1:8" ht="14.45">
      <c r="B102" t="s">
        <v>199</v>
      </c>
      <c r="C102" t="s">
        <v>200</v>
      </c>
      <c r="D102" t="s">
        <v>45</v>
      </c>
    </row>
    <row r="103" spans="1:8" ht="14.45">
      <c r="B103" t="s">
        <v>201</v>
      </c>
      <c r="C103" t="s">
        <v>202</v>
      </c>
      <c r="E103" t="s">
        <v>45</v>
      </c>
    </row>
    <row r="104" spans="1:8" ht="101.45">
      <c r="B104" t="s">
        <v>203</v>
      </c>
      <c r="C104" t="s">
        <v>204</v>
      </c>
      <c r="F104" s="2" t="s">
        <v>205</v>
      </c>
    </row>
    <row r="105" spans="1:8" ht="14.45">
      <c r="B105" t="s">
        <v>206</v>
      </c>
      <c r="C105" t="s">
        <v>207</v>
      </c>
      <c r="E105" t="s">
        <v>45</v>
      </c>
    </row>
    <row r="106" spans="1:8" ht="43.5">
      <c r="F106" s="2" t="s">
        <v>208</v>
      </c>
    </row>
    <row r="107" spans="1:8" ht="14.45">
      <c r="A107" s="1" t="s">
        <v>209</v>
      </c>
      <c r="B107" s="1"/>
      <c r="C107" s="1"/>
      <c r="D107" s="1"/>
      <c r="E107" s="1"/>
      <c r="F107" s="1"/>
      <c r="G107" s="1"/>
      <c r="H107" s="1"/>
    </row>
    <row r="108" spans="1:8" ht="14.45">
      <c r="B108" t="s">
        <v>210</v>
      </c>
      <c r="C108" t="s">
        <v>211</v>
      </c>
      <c r="G108">
        <v>1</v>
      </c>
      <c r="H108" t="s">
        <v>11</v>
      </c>
    </row>
    <row r="109" spans="1:8" ht="14.45">
      <c r="B109" t="s">
        <v>212</v>
      </c>
      <c r="C109" t="s">
        <v>213</v>
      </c>
      <c r="G109">
        <v>1</v>
      </c>
      <c r="H109" t="s">
        <v>11</v>
      </c>
    </row>
    <row r="110" spans="1:8" ht="14.45">
      <c r="B110" t="s">
        <v>214</v>
      </c>
      <c r="C110" t="s">
        <v>215</v>
      </c>
      <c r="G110">
        <v>1</v>
      </c>
      <c r="H110" t="s">
        <v>11</v>
      </c>
    </row>
    <row r="111" spans="1:8" ht="14.45">
      <c r="A111" s="1" t="s">
        <v>216</v>
      </c>
      <c r="B111" s="1"/>
      <c r="C111" s="1"/>
      <c r="D111" s="1"/>
      <c r="E111" s="1"/>
      <c r="F111" s="1"/>
      <c r="G111" s="1"/>
      <c r="H111" s="1"/>
    </row>
    <row r="112" spans="1:8" ht="14.45">
      <c r="B112" t="s">
        <v>217</v>
      </c>
      <c r="C112" t="s">
        <v>218</v>
      </c>
      <c r="G112">
        <v>3</v>
      </c>
      <c r="H112" t="s">
        <v>93</v>
      </c>
    </row>
    <row r="113" spans="1:8" ht="14.45">
      <c r="B113" t="s">
        <v>219</v>
      </c>
      <c r="C113" t="s">
        <v>220</v>
      </c>
      <c r="G113">
        <v>3</v>
      </c>
      <c r="H113" t="s">
        <v>93</v>
      </c>
    </row>
    <row r="114" spans="1:8" ht="14.45">
      <c r="B114" t="s">
        <v>221</v>
      </c>
      <c r="C114" t="s">
        <v>222</v>
      </c>
      <c r="G114">
        <v>2</v>
      </c>
      <c r="H114" t="s">
        <v>93</v>
      </c>
    </row>
    <row r="115" spans="1:8" ht="14.45">
      <c r="B115" t="s">
        <v>223</v>
      </c>
      <c r="C115" t="s">
        <v>224</v>
      </c>
      <c r="G115">
        <v>2</v>
      </c>
      <c r="H115" t="s">
        <v>93</v>
      </c>
    </row>
    <row r="116" spans="1:8" ht="14.45">
      <c r="B116" t="s">
        <v>225</v>
      </c>
      <c r="C116" t="s">
        <v>226</v>
      </c>
      <c r="G116">
        <v>2</v>
      </c>
      <c r="H116" t="s">
        <v>93</v>
      </c>
    </row>
    <row r="117" spans="1:8" ht="14.45">
      <c r="B117" t="s">
        <v>227</v>
      </c>
      <c r="C117" t="s">
        <v>228</v>
      </c>
      <c r="G117">
        <v>4</v>
      </c>
      <c r="H117" t="s">
        <v>93</v>
      </c>
    </row>
    <row r="118" spans="1:8" ht="14.45">
      <c r="A118" s="1" t="s">
        <v>229</v>
      </c>
      <c r="B118" s="1"/>
      <c r="C118" s="1"/>
      <c r="D118" s="1"/>
      <c r="E118" s="1"/>
      <c r="F118" s="1"/>
      <c r="G118" s="1"/>
      <c r="H118" s="1"/>
    </row>
    <row r="119" spans="1:8" ht="14.45">
      <c r="B119" t="s">
        <v>230</v>
      </c>
      <c r="C119" t="s">
        <v>231</v>
      </c>
      <c r="G119">
        <v>1</v>
      </c>
      <c r="H119" t="s">
        <v>93</v>
      </c>
    </row>
    <row r="120" spans="1:8" ht="14.45">
      <c r="B120" t="s">
        <v>232</v>
      </c>
      <c r="C120" t="s">
        <v>233</v>
      </c>
      <c r="G120">
        <v>1</v>
      </c>
      <c r="H120" t="s">
        <v>93</v>
      </c>
    </row>
    <row r="121" spans="1:8" s="99" customFormat="1" ht="14.45">
      <c r="A121" s="99" t="s">
        <v>234</v>
      </c>
      <c r="C121" s="99" t="s">
        <v>235</v>
      </c>
    </row>
    <row r="122" spans="1:8" ht="57.95">
      <c r="B122" t="s">
        <v>236</v>
      </c>
      <c r="C122" t="s">
        <v>237</v>
      </c>
      <c r="D122" t="s">
        <v>45</v>
      </c>
      <c r="F122" s="2" t="s">
        <v>238</v>
      </c>
    </row>
    <row r="123" spans="1:8" ht="14.45">
      <c r="B123" t="s">
        <v>239</v>
      </c>
      <c r="C123" t="s">
        <v>240</v>
      </c>
    </row>
    <row r="124" spans="1:8" ht="14.45">
      <c r="B124" t="s">
        <v>241</v>
      </c>
      <c r="C124" t="s">
        <v>242</v>
      </c>
    </row>
    <row r="125" spans="1:8" ht="14.45">
      <c r="B125" t="s">
        <v>243</v>
      </c>
      <c r="C125" t="s">
        <v>244</v>
      </c>
    </row>
    <row r="126" spans="1:8" ht="29.1">
      <c r="B126" t="s">
        <v>245</v>
      </c>
      <c r="C126" t="s">
        <v>246</v>
      </c>
      <c r="D126" t="s">
        <v>45</v>
      </c>
      <c r="F126" s="2" t="s">
        <v>247</v>
      </c>
    </row>
    <row r="127" spans="1:8" ht="72.599999999999994">
      <c r="F127" s="2" t="s">
        <v>248</v>
      </c>
    </row>
    <row r="128" spans="1:8" ht="14.45">
      <c r="A128" s="1" t="s">
        <v>249</v>
      </c>
      <c r="B128" s="1"/>
      <c r="C128" s="1"/>
      <c r="D128" s="1"/>
      <c r="E128" s="1"/>
      <c r="F128" s="1"/>
      <c r="G128" s="1"/>
      <c r="H128" s="1"/>
    </row>
    <row r="129" spans="1:8" ht="14.45">
      <c r="B129" t="s">
        <v>250</v>
      </c>
      <c r="C129" t="s">
        <v>251</v>
      </c>
      <c r="G129">
        <v>1</v>
      </c>
      <c r="H129" t="s">
        <v>35</v>
      </c>
    </row>
    <row r="130" spans="1:8" ht="14.45">
      <c r="B130" t="s">
        <v>252</v>
      </c>
      <c r="C130" t="s">
        <v>253</v>
      </c>
      <c r="G130">
        <v>1</v>
      </c>
      <c r="H130" t="s">
        <v>35</v>
      </c>
    </row>
    <row r="131" spans="1:8" ht="14.45">
      <c r="B131" t="s">
        <v>254</v>
      </c>
      <c r="C131" t="s">
        <v>255</v>
      </c>
      <c r="G131">
        <v>1</v>
      </c>
      <c r="H131" t="s">
        <v>35</v>
      </c>
    </row>
    <row r="132" spans="1:8" ht="14.45">
      <c r="B132" t="s">
        <v>256</v>
      </c>
      <c r="C132" t="s">
        <v>257</v>
      </c>
      <c r="G132">
        <v>1</v>
      </c>
      <c r="H132" t="s">
        <v>35</v>
      </c>
    </row>
    <row r="133" spans="1:8" ht="14.45">
      <c r="A133" s="1" t="s">
        <v>258</v>
      </c>
      <c r="B133" s="1"/>
      <c r="C133" s="1"/>
      <c r="D133" s="1"/>
      <c r="E133" s="1"/>
      <c r="F133" s="1"/>
      <c r="G133" s="1"/>
      <c r="H133" s="1"/>
    </row>
    <row r="134" spans="1:8" ht="14.45">
      <c r="B134" t="s">
        <v>259</v>
      </c>
      <c r="C134" t="s">
        <v>260</v>
      </c>
      <c r="G134">
        <v>1</v>
      </c>
      <c r="H134" t="s">
        <v>11</v>
      </c>
    </row>
    <row r="135" spans="1:8" ht="14.45">
      <c r="B135" t="s">
        <v>261</v>
      </c>
      <c r="C135" t="s">
        <v>262</v>
      </c>
      <c r="G135">
        <v>1</v>
      </c>
      <c r="H135" t="s">
        <v>11</v>
      </c>
    </row>
    <row r="136" spans="1:8" ht="14.45">
      <c r="B136" t="s">
        <v>263</v>
      </c>
      <c r="C136" t="s">
        <v>264</v>
      </c>
      <c r="G136">
        <v>1</v>
      </c>
      <c r="H136" t="s">
        <v>11</v>
      </c>
    </row>
    <row r="137" spans="1:8" ht="14.45">
      <c r="B137" t="s">
        <v>265</v>
      </c>
      <c r="C137" t="s">
        <v>266</v>
      </c>
      <c r="G137">
        <v>1</v>
      </c>
      <c r="H137" t="s">
        <v>11</v>
      </c>
    </row>
    <row r="138" spans="1:8" ht="14.45">
      <c r="A138" s="1" t="s">
        <v>267</v>
      </c>
      <c r="B138" s="1"/>
      <c r="C138" s="1"/>
      <c r="D138" s="1"/>
      <c r="E138" s="1"/>
      <c r="F138" s="1"/>
      <c r="G138" s="1"/>
      <c r="H138" s="1"/>
    </row>
    <row r="139" spans="1:8" ht="14.45">
      <c r="B139" t="s">
        <v>268</v>
      </c>
      <c r="C139" t="s">
        <v>269</v>
      </c>
      <c r="G139">
        <v>1</v>
      </c>
      <c r="H139" t="s">
        <v>11</v>
      </c>
    </row>
    <row r="140" spans="1:8" ht="14.45">
      <c r="B140" t="s">
        <v>270</v>
      </c>
      <c r="C140" t="s">
        <v>271</v>
      </c>
      <c r="G140">
        <v>1</v>
      </c>
      <c r="H140" t="s">
        <v>11</v>
      </c>
    </row>
    <row r="141" spans="1:8" ht="14.45">
      <c r="B141" t="s">
        <v>272</v>
      </c>
      <c r="C141" t="s">
        <v>273</v>
      </c>
      <c r="G141">
        <v>1</v>
      </c>
      <c r="H141" t="s">
        <v>11</v>
      </c>
    </row>
    <row r="142" spans="1:8" ht="14.45">
      <c r="B142" t="s">
        <v>274</v>
      </c>
      <c r="C142" t="s">
        <v>275</v>
      </c>
      <c r="G142">
        <v>1</v>
      </c>
      <c r="H142" t="s">
        <v>11</v>
      </c>
    </row>
    <row r="143" spans="1:8" ht="14.45">
      <c r="B143" t="s">
        <v>276</v>
      </c>
      <c r="C143" t="s">
        <v>277</v>
      </c>
      <c r="G143">
        <v>1</v>
      </c>
      <c r="H143" t="s">
        <v>11</v>
      </c>
    </row>
    <row r="144" spans="1:8" ht="14.45">
      <c r="A144" s="1" t="s">
        <v>278</v>
      </c>
      <c r="B144" s="1"/>
      <c r="C144" s="1"/>
      <c r="D144" s="1"/>
      <c r="E144" s="1"/>
      <c r="F144" s="1"/>
      <c r="G144" s="1"/>
      <c r="H144" s="1"/>
    </row>
    <row r="145" spans="1:8" ht="14.45">
      <c r="B145" t="s">
        <v>279</v>
      </c>
      <c r="C145" t="s">
        <v>280</v>
      </c>
      <c r="G145">
        <v>1</v>
      </c>
      <c r="H145" t="s">
        <v>11</v>
      </c>
    </row>
    <row r="146" spans="1:8" ht="14.45">
      <c r="B146" t="s">
        <v>281</v>
      </c>
      <c r="C146" t="s">
        <v>282</v>
      </c>
      <c r="G146">
        <v>2</v>
      </c>
      <c r="H146" t="s">
        <v>11</v>
      </c>
    </row>
    <row r="147" spans="1:8" ht="14.45">
      <c r="B147" t="s">
        <v>283</v>
      </c>
      <c r="C147" t="s">
        <v>284</v>
      </c>
      <c r="G147">
        <v>2</v>
      </c>
      <c r="H147" t="s">
        <v>11</v>
      </c>
    </row>
    <row r="148" spans="1:8" ht="14.45">
      <c r="B148" t="s">
        <v>285</v>
      </c>
      <c r="C148" t="s">
        <v>286</v>
      </c>
      <c r="G148">
        <v>2</v>
      </c>
      <c r="H148" t="s">
        <v>11</v>
      </c>
    </row>
    <row r="149" spans="1:8" ht="14.45">
      <c r="B149" t="s">
        <v>287</v>
      </c>
      <c r="C149" t="s">
        <v>288</v>
      </c>
      <c r="G149">
        <v>2</v>
      </c>
      <c r="H149" t="s">
        <v>11</v>
      </c>
    </row>
    <row r="150" spans="1:8" ht="14.45">
      <c r="B150" t="s">
        <v>289</v>
      </c>
      <c r="C150" t="s">
        <v>290</v>
      </c>
      <c r="G150">
        <v>3</v>
      </c>
      <c r="H150" t="s">
        <v>11</v>
      </c>
    </row>
    <row r="151" spans="1:8" ht="14.45">
      <c r="B151" t="s">
        <v>291</v>
      </c>
      <c r="C151" t="s">
        <v>292</v>
      </c>
      <c r="G151">
        <v>3</v>
      </c>
      <c r="H151" t="s">
        <v>11</v>
      </c>
    </row>
    <row r="152" spans="1:8" s="99" customFormat="1" ht="14.45">
      <c r="A152" s="99" t="s">
        <v>293</v>
      </c>
    </row>
    <row r="153" spans="1:8" ht="14.45">
      <c r="B153" t="s">
        <v>294</v>
      </c>
      <c r="C153" t="s">
        <v>295</v>
      </c>
      <c r="D153" t="s">
        <v>45</v>
      </c>
    </row>
    <row r="154" spans="1:8" ht="14.45">
      <c r="B154" t="s">
        <v>296</v>
      </c>
      <c r="C154" t="s">
        <v>297</v>
      </c>
      <c r="D154" t="s">
        <v>45</v>
      </c>
    </row>
    <row r="155" spans="1:8" ht="14.45">
      <c r="B155" t="s">
        <v>298</v>
      </c>
      <c r="C155" t="s">
        <v>299</v>
      </c>
      <c r="D155" t="s">
        <v>45</v>
      </c>
    </row>
    <row r="156" spans="1:8" ht="14.45">
      <c r="B156" t="s">
        <v>300</v>
      </c>
      <c r="C156" t="s">
        <v>301</v>
      </c>
      <c r="D156" t="s">
        <v>45</v>
      </c>
    </row>
    <row r="157" spans="1:8" ht="14.45">
      <c r="A157" s="1" t="s">
        <v>302</v>
      </c>
      <c r="B157" s="1"/>
      <c r="C157" s="1"/>
      <c r="D157" s="1"/>
      <c r="E157" s="1"/>
      <c r="F157" s="1"/>
      <c r="G157" s="1"/>
      <c r="H157" s="1"/>
    </row>
    <row r="158" spans="1:8" ht="14.45">
      <c r="B158" t="s">
        <v>303</v>
      </c>
      <c r="C158" t="s">
        <v>304</v>
      </c>
      <c r="G158">
        <v>1</v>
      </c>
      <c r="H158" t="s">
        <v>11</v>
      </c>
    </row>
    <row r="159" spans="1:8" ht="14.45">
      <c r="B159" t="s">
        <v>305</v>
      </c>
      <c r="C159" t="s">
        <v>306</v>
      </c>
      <c r="G159">
        <v>1</v>
      </c>
      <c r="H159" t="s">
        <v>11</v>
      </c>
    </row>
    <row r="160" spans="1:8" ht="14.45">
      <c r="B160" t="s">
        <v>307</v>
      </c>
      <c r="C160" t="s">
        <v>308</v>
      </c>
      <c r="G160">
        <v>2</v>
      </c>
      <c r="H160" t="s">
        <v>11</v>
      </c>
    </row>
    <row r="161" spans="1:8" ht="14.45">
      <c r="B161" t="s">
        <v>309</v>
      </c>
      <c r="C161" t="s">
        <v>310</v>
      </c>
      <c r="G161">
        <v>2</v>
      </c>
      <c r="H161" t="s">
        <v>11</v>
      </c>
    </row>
    <row r="162" spans="1:8" ht="14.45">
      <c r="B162" t="s">
        <v>311</v>
      </c>
      <c r="C162" t="s">
        <v>312</v>
      </c>
      <c r="G162">
        <v>1</v>
      </c>
      <c r="H162" t="s">
        <v>11</v>
      </c>
    </row>
    <row r="163" spans="1:8" ht="14.45">
      <c r="A163" s="1" t="s">
        <v>313</v>
      </c>
      <c r="B163" s="1"/>
      <c r="C163" s="1"/>
      <c r="D163" s="1"/>
      <c r="E163" s="1"/>
      <c r="F163" s="1"/>
      <c r="G163" s="1"/>
      <c r="H163" s="1"/>
    </row>
    <row r="164" spans="1:8" ht="14.45">
      <c r="B164" t="s">
        <v>314</v>
      </c>
      <c r="C164" t="s">
        <v>315</v>
      </c>
      <c r="G164">
        <v>2</v>
      </c>
      <c r="H164" t="s">
        <v>316</v>
      </c>
    </row>
    <row r="165" spans="1:8" ht="14.45">
      <c r="B165" t="s">
        <v>317</v>
      </c>
      <c r="C165" t="s">
        <v>318</v>
      </c>
      <c r="G165">
        <v>3</v>
      </c>
    </row>
    <row r="166" spans="1:8" ht="14.45">
      <c r="B166" t="s">
        <v>319</v>
      </c>
      <c r="C166" t="s">
        <v>320</v>
      </c>
      <c r="G166">
        <v>2</v>
      </c>
    </row>
    <row r="167" spans="1:8" ht="14.45">
      <c r="B167" t="s">
        <v>321</v>
      </c>
      <c r="C167" t="s">
        <v>322</v>
      </c>
      <c r="G167">
        <v>2</v>
      </c>
    </row>
    <row r="168" spans="1:8" s="99" customFormat="1" ht="14.45">
      <c r="A168" s="99" t="s">
        <v>323</v>
      </c>
    </row>
    <row r="169" spans="1:8" ht="29.1">
      <c r="B169" t="s">
        <v>324</v>
      </c>
      <c r="C169" t="s">
        <v>325</v>
      </c>
      <c r="D169" t="s">
        <v>45</v>
      </c>
      <c r="F169" s="2" t="s">
        <v>326</v>
      </c>
    </row>
    <row r="170" spans="1:8" ht="14.45">
      <c r="B170" t="s">
        <v>327</v>
      </c>
      <c r="C170" t="s">
        <v>328</v>
      </c>
      <c r="D170" t="s">
        <v>45</v>
      </c>
    </row>
    <row r="171" spans="1:8" ht="29.1">
      <c r="B171" t="s">
        <v>329</v>
      </c>
      <c r="C171" t="s">
        <v>330</v>
      </c>
      <c r="D171" t="s">
        <v>45</v>
      </c>
      <c r="F171" s="2" t="s">
        <v>326</v>
      </c>
    </row>
    <row r="172" spans="1:8" ht="14.45">
      <c r="B172" t="s">
        <v>331</v>
      </c>
      <c r="C172" t="s">
        <v>332</v>
      </c>
      <c r="D172" t="s">
        <v>45</v>
      </c>
    </row>
    <row r="173" spans="1:8" ht="14.45">
      <c r="A173" s="1" t="s">
        <v>333</v>
      </c>
      <c r="B173" s="1"/>
      <c r="C173" s="1"/>
      <c r="D173" s="1"/>
      <c r="E173" s="1"/>
      <c r="F173" s="1"/>
      <c r="G173" s="1"/>
      <c r="H173" s="1"/>
    </row>
    <row r="174" spans="1:8" ht="14.45">
      <c r="B174" t="s">
        <v>334</v>
      </c>
      <c r="C174" t="s">
        <v>335</v>
      </c>
      <c r="G174">
        <v>4</v>
      </c>
      <c r="H174" t="s">
        <v>93</v>
      </c>
    </row>
    <row r="175" spans="1:8" ht="14.45">
      <c r="A175" s="1" t="s">
        <v>336</v>
      </c>
      <c r="B175" s="1"/>
      <c r="C175" s="1"/>
      <c r="D175" s="1"/>
      <c r="E175" s="1"/>
      <c r="F175" s="1"/>
      <c r="G175" s="1"/>
      <c r="H175" s="1"/>
    </row>
    <row r="176" spans="1:8" ht="14.45">
      <c r="B176" t="s">
        <v>337</v>
      </c>
      <c r="C176" t="s">
        <v>338</v>
      </c>
      <c r="G176">
        <v>1</v>
      </c>
    </row>
    <row r="177" spans="1:8" ht="14.45">
      <c r="B177" t="s">
        <v>339</v>
      </c>
      <c r="C177" t="s">
        <v>340</v>
      </c>
      <c r="G177">
        <v>2</v>
      </c>
    </row>
    <row r="178" spans="1:8" ht="14.45">
      <c r="B178" t="s">
        <v>341</v>
      </c>
      <c r="C178" t="s">
        <v>342</v>
      </c>
      <c r="G178">
        <v>2</v>
      </c>
    </row>
    <row r="179" spans="1:8" ht="14.45">
      <c r="B179" t="s">
        <v>343</v>
      </c>
      <c r="C179" t="s">
        <v>344</v>
      </c>
      <c r="G179">
        <v>2</v>
      </c>
    </row>
    <row r="180" spans="1:8" ht="14.45">
      <c r="B180" t="s">
        <v>345</v>
      </c>
      <c r="C180" t="s">
        <v>346</v>
      </c>
      <c r="G180">
        <v>2</v>
      </c>
    </row>
    <row r="181" spans="1:8" s="99" customFormat="1" ht="14.45">
      <c r="A181" s="99" t="s">
        <v>347</v>
      </c>
    </row>
    <row r="182" spans="1:8" ht="43.5">
      <c r="B182" t="s">
        <v>348</v>
      </c>
      <c r="C182" t="s">
        <v>349</v>
      </c>
      <c r="D182" t="s">
        <v>45</v>
      </c>
      <c r="F182" s="2" t="s">
        <v>350</v>
      </c>
    </row>
    <row r="183" spans="1:8" ht="43.5">
      <c r="B183" t="s">
        <v>351</v>
      </c>
      <c r="C183" t="s">
        <v>352</v>
      </c>
      <c r="D183" t="s">
        <v>45</v>
      </c>
      <c r="F183" s="2" t="s">
        <v>350</v>
      </c>
    </row>
    <row r="184" spans="1:8" ht="14.45">
      <c r="A184" s="1" t="s">
        <v>353</v>
      </c>
      <c r="B184" s="1"/>
      <c r="C184" s="1"/>
      <c r="D184" s="1"/>
      <c r="E184" s="1"/>
      <c r="F184" s="1"/>
      <c r="G184" s="1"/>
      <c r="H184" s="1"/>
    </row>
    <row r="185" spans="1:8" ht="14.45">
      <c r="B185" t="s">
        <v>354</v>
      </c>
      <c r="C185" t="s">
        <v>355</v>
      </c>
      <c r="G185">
        <v>2</v>
      </c>
      <c r="H185" t="s">
        <v>11</v>
      </c>
    </row>
    <row r="186" spans="1:8" ht="14.45">
      <c r="B186" t="s">
        <v>356</v>
      </c>
      <c r="C186" t="s">
        <v>357</v>
      </c>
      <c r="G186">
        <v>2</v>
      </c>
      <c r="H186" t="s">
        <v>11</v>
      </c>
    </row>
    <row r="187" spans="1:8" ht="14.45">
      <c r="B187" t="s">
        <v>358</v>
      </c>
      <c r="C187" t="s">
        <v>359</v>
      </c>
      <c r="G187">
        <v>2</v>
      </c>
      <c r="H187" t="s">
        <v>11</v>
      </c>
    </row>
    <row r="188" spans="1:8" ht="14.45">
      <c r="B188" t="s">
        <v>360</v>
      </c>
      <c r="C188" t="s">
        <v>361</v>
      </c>
      <c r="G188">
        <v>2</v>
      </c>
      <c r="H188" t="s">
        <v>11</v>
      </c>
    </row>
    <row r="189" spans="1:8" s="99" customFormat="1" ht="14.45">
      <c r="A189" s="99" t="s">
        <v>362</v>
      </c>
    </row>
    <row r="190" spans="1:8" ht="14.45">
      <c r="B190" t="s">
        <v>363</v>
      </c>
      <c r="C190" t="s">
        <v>364</v>
      </c>
      <c r="G190">
        <v>4</v>
      </c>
      <c r="H190" t="s">
        <v>93</v>
      </c>
    </row>
    <row r="192" spans="1:8" ht="14.45"/>
    <row r="193" ht="14.45"/>
    <row r="195" ht="14.45"/>
    <row r="196" ht="14.45"/>
    <row r="199" ht="14.45"/>
    <row r="204" ht="14.45"/>
    <row r="206" ht="14.45"/>
    <row r="207" ht="14.45"/>
    <row r="208" ht="14.45"/>
    <row r="210" ht="14.45"/>
    <row r="212" ht="14.45"/>
    <row r="215" ht="14.45"/>
    <row r="217" ht="14.45"/>
    <row r="218" ht="14.45"/>
    <row r="219" ht="14.45"/>
    <row r="222" ht="14.45"/>
    <row r="224" ht="14.45"/>
    <row r="229" ht="14.45"/>
    <row r="230" ht="14.45"/>
    <row r="236" ht="14.45"/>
  </sheetData>
  <mergeCells count="1">
    <mergeCell ref="H10:H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07F2-AC80-43A0-82C5-706C28D48F00}">
  <dimension ref="A1:I45"/>
  <sheetViews>
    <sheetView topLeftCell="A5" workbookViewId="0">
      <selection activeCell="D8" sqref="D8"/>
    </sheetView>
    <sheetView workbookViewId="1"/>
  </sheetViews>
  <sheetFormatPr defaultRowHeight="14.45"/>
  <cols>
    <col min="1" max="1" width="15" style="136" customWidth="1"/>
    <col min="2" max="2" width="21.85546875" customWidth="1"/>
    <col min="3" max="3" width="34.140625" style="2" customWidth="1"/>
    <col min="4" max="4" width="47.85546875" style="2" customWidth="1"/>
    <col min="5" max="5" width="58.85546875" style="2" customWidth="1"/>
    <col min="6" max="6" width="39.140625" customWidth="1"/>
    <col min="7" max="7" width="65.85546875" style="2" customWidth="1"/>
  </cols>
  <sheetData>
    <row r="1" spans="1:9" ht="18" customHeight="1">
      <c r="C1" s="195" t="s">
        <v>365</v>
      </c>
      <c r="D1" s="195"/>
      <c r="E1" s="195"/>
      <c r="F1" s="196"/>
      <c r="G1" s="196"/>
      <c r="H1" s="196"/>
      <c r="I1" s="196"/>
    </row>
    <row r="2" spans="1:9" ht="14.45" customHeight="1">
      <c r="A2" s="136" t="s">
        <v>366</v>
      </c>
      <c r="C2" s="195"/>
      <c r="D2" s="195"/>
      <c r="E2" s="195"/>
      <c r="F2" s="196"/>
      <c r="G2" s="196"/>
      <c r="H2" s="196"/>
      <c r="I2" s="196"/>
    </row>
    <row r="3" spans="1:9" ht="44.1">
      <c r="A3" s="134" t="s">
        <v>367</v>
      </c>
      <c r="C3" s="133"/>
      <c r="D3" s="133"/>
      <c r="E3" s="143"/>
      <c r="F3" s="143"/>
      <c r="G3" s="143"/>
      <c r="H3" s="143"/>
    </row>
    <row r="4" spans="1:9" ht="72.95">
      <c r="A4" s="134" t="s">
        <v>368</v>
      </c>
      <c r="C4" s="133"/>
      <c r="D4" s="133"/>
      <c r="E4" s="143"/>
      <c r="F4" s="143"/>
      <c r="G4" s="143"/>
      <c r="H4" s="143"/>
    </row>
    <row r="5" spans="1:9" ht="54" customHeight="1">
      <c r="A5" s="200" t="s">
        <v>369</v>
      </c>
      <c r="B5" s="201"/>
      <c r="D5" t="s">
        <v>370</v>
      </c>
      <c r="E5" s="2" t="s">
        <v>371</v>
      </c>
      <c r="F5" s="143"/>
      <c r="G5" s="143"/>
      <c r="H5" s="143"/>
      <c r="I5" s="143"/>
    </row>
    <row r="6" spans="1:9" ht="60.95" customHeight="1">
      <c r="A6" s="200"/>
      <c r="B6" s="201"/>
      <c r="D6" t="s">
        <v>372</v>
      </c>
      <c r="E6" s="2" t="s">
        <v>373</v>
      </c>
      <c r="F6" s="143"/>
      <c r="G6" s="143"/>
      <c r="H6" s="143"/>
      <c r="I6" s="143"/>
    </row>
    <row r="7" spans="1:9" s="130" customFormat="1" ht="18">
      <c r="A7" s="152" t="s">
        <v>374</v>
      </c>
      <c r="B7" s="152" t="s">
        <v>375</v>
      </c>
      <c r="C7" s="153"/>
      <c r="D7" s="154" t="s">
        <v>376</v>
      </c>
      <c r="E7" s="197" t="s">
        <v>377</v>
      </c>
      <c r="F7" s="197"/>
      <c r="G7" s="155"/>
      <c r="H7" s="155"/>
      <c r="I7" s="155"/>
    </row>
    <row r="8" spans="1:9" ht="87" customHeight="1">
      <c r="A8" s="202" t="s">
        <v>378</v>
      </c>
      <c r="B8" s="3"/>
      <c r="C8" s="133" t="s">
        <v>379</v>
      </c>
      <c r="D8" s="2" t="s">
        <v>173</v>
      </c>
      <c r="E8" s="144"/>
      <c r="F8" s="144"/>
      <c r="G8" s="143"/>
      <c r="H8" s="143"/>
      <c r="I8" s="143"/>
    </row>
    <row r="9" spans="1:9" ht="29.45">
      <c r="A9" s="202"/>
      <c r="B9" s="3"/>
      <c r="C9" s="133"/>
      <c r="D9" s="2" t="s">
        <v>176</v>
      </c>
      <c r="E9" s="144"/>
      <c r="F9" s="144"/>
      <c r="G9" s="143"/>
      <c r="H9" s="143"/>
      <c r="I9" s="143"/>
    </row>
    <row r="10" spans="1:9" ht="29.45">
      <c r="A10" s="202"/>
      <c r="B10" s="3"/>
      <c r="C10" s="133"/>
      <c r="D10" s="2" t="s">
        <v>178</v>
      </c>
      <c r="E10" s="144"/>
      <c r="F10" s="144"/>
      <c r="G10" s="143"/>
      <c r="H10" s="143"/>
      <c r="I10" s="143"/>
    </row>
    <row r="11" spans="1:9" ht="29.45">
      <c r="A11" s="202"/>
      <c r="B11" s="3"/>
      <c r="C11" s="133"/>
      <c r="D11" s="2" t="s">
        <v>180</v>
      </c>
      <c r="E11" s="144"/>
      <c r="F11" s="144"/>
      <c r="G11" s="143"/>
      <c r="H11" s="143"/>
      <c r="I11" s="143"/>
    </row>
    <row r="12" spans="1:9" ht="159.6" customHeight="1">
      <c r="A12" s="198" t="s">
        <v>380</v>
      </c>
      <c r="B12" s="199" t="s">
        <v>381</v>
      </c>
      <c r="D12" s="207" t="s">
        <v>382</v>
      </c>
      <c r="E12" s="139" t="s">
        <v>383</v>
      </c>
      <c r="F12" s="139" t="s">
        <v>384</v>
      </c>
      <c r="G12" s="2" t="s">
        <v>385</v>
      </c>
    </row>
    <row r="13" spans="1:9" ht="57.95">
      <c r="A13" s="198"/>
      <c r="B13" s="199"/>
      <c r="D13" s="207"/>
      <c r="E13" s="140" t="s">
        <v>386</v>
      </c>
      <c r="F13" s="140" t="s">
        <v>387</v>
      </c>
      <c r="G13" s="2" t="s">
        <v>388</v>
      </c>
    </row>
    <row r="14" spans="1:9" ht="43.5">
      <c r="A14" s="198"/>
      <c r="B14" s="199"/>
      <c r="G14" s="2" t="s">
        <v>389</v>
      </c>
    </row>
    <row r="15" spans="1:9" ht="72.599999999999994">
      <c r="A15" s="198"/>
      <c r="B15" s="199"/>
      <c r="D15" s="208" t="s">
        <v>390</v>
      </c>
      <c r="E15" s="140" t="s">
        <v>391</v>
      </c>
      <c r="F15" s="140" t="s">
        <v>392</v>
      </c>
      <c r="G15" s="2" t="s">
        <v>393</v>
      </c>
    </row>
    <row r="16" spans="1:9" ht="72.599999999999994">
      <c r="A16" s="198"/>
      <c r="B16" s="199"/>
      <c r="D16" s="208"/>
      <c r="E16" s="140"/>
      <c r="F16" s="140" t="s">
        <v>394</v>
      </c>
      <c r="G16" s="2" t="s">
        <v>395</v>
      </c>
    </row>
    <row r="17" spans="1:7" ht="43.5">
      <c r="G17" s="2" t="s">
        <v>396</v>
      </c>
    </row>
    <row r="18" spans="1:7" ht="156.6" customHeight="1">
      <c r="A18" s="203" t="s">
        <v>397</v>
      </c>
      <c r="B18" s="206" t="s">
        <v>398</v>
      </c>
      <c r="D18" s="2" t="s">
        <v>399</v>
      </c>
      <c r="E18" s="137"/>
      <c r="F18" s="137" t="s">
        <v>400</v>
      </c>
      <c r="G18" s="2" t="s">
        <v>401</v>
      </c>
    </row>
    <row r="19" spans="1:7" ht="90" customHeight="1">
      <c r="A19" s="203"/>
      <c r="B19" s="206"/>
      <c r="D19" s="2" t="s">
        <v>402</v>
      </c>
      <c r="E19" s="138"/>
      <c r="F19" s="138" t="s">
        <v>403</v>
      </c>
      <c r="G19" s="2" t="s">
        <v>404</v>
      </c>
    </row>
    <row r="20" spans="1:7" ht="29.1">
      <c r="A20" s="203"/>
      <c r="B20" s="206"/>
      <c r="E20" s="138"/>
      <c r="F20" s="138"/>
      <c r="G20" s="2" t="s">
        <v>405</v>
      </c>
    </row>
    <row r="21" spans="1:7">
      <c r="A21" s="203"/>
      <c r="B21" s="206"/>
      <c r="E21" s="138" t="s">
        <v>406</v>
      </c>
      <c r="F21" s="138"/>
    </row>
    <row r="22" spans="1:7">
      <c r="A22" s="203"/>
      <c r="B22" s="206"/>
      <c r="E22" s="138" t="s">
        <v>407</v>
      </c>
      <c r="F22" s="138"/>
    </row>
    <row r="23" spans="1:7" ht="29.1">
      <c r="A23" s="203"/>
      <c r="B23" s="206"/>
      <c r="E23" s="138" t="s">
        <v>408</v>
      </c>
      <c r="F23" s="138"/>
      <c r="G23" s="2" t="s">
        <v>409</v>
      </c>
    </row>
    <row r="24" spans="1:7">
      <c r="A24" s="203"/>
      <c r="B24" s="206"/>
      <c r="E24" s="138" t="s">
        <v>410</v>
      </c>
      <c r="F24" s="138"/>
    </row>
    <row r="25" spans="1:7">
      <c r="A25" s="203"/>
      <c r="B25" s="206"/>
      <c r="E25" s="138" t="s">
        <v>411</v>
      </c>
      <c r="F25" s="138" t="s">
        <v>412</v>
      </c>
    </row>
    <row r="26" spans="1:7">
      <c r="A26" s="203"/>
      <c r="B26" s="206"/>
      <c r="E26" s="138" t="s">
        <v>413</v>
      </c>
      <c r="F26" s="138"/>
    </row>
    <row r="27" spans="1:7">
      <c r="A27" s="203"/>
      <c r="B27" s="206"/>
      <c r="E27" s="138" t="s">
        <v>414</v>
      </c>
      <c r="F27" s="138"/>
    </row>
    <row r="28" spans="1:7">
      <c r="A28" s="203"/>
      <c r="B28" s="206"/>
      <c r="E28" s="137" t="s">
        <v>415</v>
      </c>
      <c r="F28" s="137"/>
    </row>
    <row r="30" spans="1:7" ht="57.95" customHeight="1">
      <c r="A30" s="204" t="s">
        <v>416</v>
      </c>
      <c r="B30" s="205" t="s">
        <v>417</v>
      </c>
      <c r="E30" s="141" t="s">
        <v>418</v>
      </c>
      <c r="F30" s="141"/>
      <c r="G30" s="2" t="s">
        <v>419</v>
      </c>
    </row>
    <row r="31" spans="1:7" ht="57.95">
      <c r="A31" s="204"/>
      <c r="B31" s="205"/>
      <c r="D31" s="2" t="s">
        <v>420</v>
      </c>
      <c r="E31" s="142" t="s">
        <v>421</v>
      </c>
      <c r="F31" s="142" t="s">
        <v>422</v>
      </c>
      <c r="G31" s="2" t="s">
        <v>423</v>
      </c>
    </row>
    <row r="32" spans="1:7" ht="29.1">
      <c r="A32" s="204"/>
      <c r="B32" s="205"/>
      <c r="D32" s="2" t="s">
        <v>424</v>
      </c>
      <c r="E32" s="142" t="s">
        <v>425</v>
      </c>
      <c r="F32" s="142" t="s">
        <v>426</v>
      </c>
      <c r="G32" s="2" t="s">
        <v>427</v>
      </c>
    </row>
    <row r="33" spans="1:7" ht="29.1">
      <c r="A33" s="204"/>
      <c r="B33" s="205"/>
      <c r="D33" s="2" t="s">
        <v>428</v>
      </c>
      <c r="E33" s="141" t="s">
        <v>429</v>
      </c>
      <c r="F33" s="141" t="s">
        <v>430</v>
      </c>
      <c r="G33" s="2" t="s">
        <v>431</v>
      </c>
    </row>
    <row r="35" spans="1:7" ht="29.1">
      <c r="G35" s="2" t="s">
        <v>432</v>
      </c>
    </row>
    <row r="36" spans="1:7">
      <c r="G36" s="2" t="s">
        <v>433</v>
      </c>
    </row>
    <row r="45" spans="1:7">
      <c r="F45" s="2"/>
    </row>
  </sheetData>
  <mergeCells count="14">
    <mergeCell ref="A18:A28"/>
    <mergeCell ref="A30:A33"/>
    <mergeCell ref="B30:B33"/>
    <mergeCell ref="B18:B28"/>
    <mergeCell ref="D12:D13"/>
    <mergeCell ref="D15:D16"/>
    <mergeCell ref="C1:E2"/>
    <mergeCell ref="F1:I2"/>
    <mergeCell ref="E7:F7"/>
    <mergeCell ref="A12:A16"/>
    <mergeCell ref="B12:B16"/>
    <mergeCell ref="A5:A6"/>
    <mergeCell ref="B5:B6"/>
    <mergeCell ref="A8:A1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2EDCA-C390-4E1D-8136-55216A56E8CC}">
  <dimension ref="A1:J34"/>
  <sheetViews>
    <sheetView workbookViewId="0"/>
    <sheetView workbookViewId="1"/>
  </sheetViews>
  <sheetFormatPr defaultRowHeight="14.45"/>
  <cols>
    <col min="1" max="1" width="16.42578125" customWidth="1"/>
    <col min="2" max="2" width="56.5703125" bestFit="1" customWidth="1"/>
    <col min="3" max="3" width="61.28515625" style="2" customWidth="1"/>
    <col min="4" max="4" width="2.140625" customWidth="1"/>
    <col min="5" max="5" width="21.42578125" customWidth="1"/>
    <col min="6" max="6" width="23.5703125" customWidth="1"/>
    <col min="7" max="7" width="28.7109375" customWidth="1"/>
    <col min="8" max="8" width="29.42578125" style="145" customWidth="1"/>
    <col min="9" max="9" width="29.85546875" style="145" customWidth="1"/>
    <col min="10" max="10" width="29.7109375" style="150" customWidth="1"/>
  </cols>
  <sheetData>
    <row r="1" spans="1:10">
      <c r="E1" t="s">
        <v>434</v>
      </c>
      <c r="F1" s="3" t="s">
        <v>435</v>
      </c>
      <c r="G1" s="3" t="s">
        <v>436</v>
      </c>
      <c r="H1" s="146" t="s">
        <v>437</v>
      </c>
      <c r="I1" s="146" t="s">
        <v>438</v>
      </c>
      <c r="J1" s="148" t="s">
        <v>439</v>
      </c>
    </row>
    <row r="2" spans="1:10">
      <c r="A2" s="99" t="s">
        <v>234</v>
      </c>
      <c r="B2" s="99"/>
      <c r="C2" s="128" t="s">
        <v>235</v>
      </c>
      <c r="D2" s="99"/>
      <c r="E2" s="99" t="s">
        <v>440</v>
      </c>
      <c r="F2" s="99"/>
      <c r="G2" s="99"/>
      <c r="H2" s="147"/>
      <c r="I2" s="147"/>
      <c r="J2" s="149"/>
    </row>
    <row r="3" spans="1:10" ht="72.599999999999994">
      <c r="B3" t="s">
        <v>236</v>
      </c>
      <c r="C3" s="2" t="s">
        <v>237</v>
      </c>
      <c r="D3" t="s">
        <v>45</v>
      </c>
      <c r="F3" s="2" t="s">
        <v>238</v>
      </c>
      <c r="G3" s="2"/>
      <c r="H3" s="167" t="s">
        <v>441</v>
      </c>
      <c r="I3" s="145" t="s">
        <v>442</v>
      </c>
    </row>
    <row r="4" spans="1:10" ht="35.450000000000003">
      <c r="B4" t="s">
        <v>239</v>
      </c>
      <c r="C4" s="2" t="s">
        <v>240</v>
      </c>
      <c r="D4" t="s">
        <v>45</v>
      </c>
      <c r="H4" s="159" t="s">
        <v>443</v>
      </c>
    </row>
    <row r="5" spans="1:10" ht="35.450000000000003">
      <c r="B5" t="s">
        <v>241</v>
      </c>
      <c r="C5" s="2" t="s">
        <v>242</v>
      </c>
      <c r="D5" t="s">
        <v>45</v>
      </c>
      <c r="H5" s="159" t="s">
        <v>444</v>
      </c>
    </row>
    <row r="6" spans="1:10" ht="29.1">
      <c r="B6" t="s">
        <v>243</v>
      </c>
      <c r="C6" s="2" t="s">
        <v>244</v>
      </c>
      <c r="D6" t="s">
        <v>45</v>
      </c>
      <c r="H6" s="159" t="s">
        <v>445</v>
      </c>
    </row>
    <row r="7" spans="1:10" ht="43.5">
      <c r="B7" t="s">
        <v>245</v>
      </c>
      <c r="C7" s="2" t="s">
        <v>246</v>
      </c>
      <c r="D7" t="s">
        <v>45</v>
      </c>
      <c r="F7" s="2" t="s">
        <v>247</v>
      </c>
      <c r="G7" s="2"/>
      <c r="H7" s="159" t="s">
        <v>446</v>
      </c>
    </row>
    <row r="8" spans="1:10" ht="130.5">
      <c r="F8" s="2" t="s">
        <v>248</v>
      </c>
      <c r="G8" s="2" t="s">
        <v>447</v>
      </c>
      <c r="H8" s="168" t="s">
        <v>448</v>
      </c>
    </row>
    <row r="11" spans="1:10" ht="33" customHeight="1">
      <c r="A11" s="99" t="s">
        <v>293</v>
      </c>
      <c r="B11" s="99"/>
      <c r="C11" s="128"/>
      <c r="D11" s="99"/>
      <c r="E11" s="209" t="s">
        <v>449</v>
      </c>
      <c r="F11" s="209"/>
      <c r="G11" s="210"/>
      <c r="H11" s="147"/>
      <c r="I11" s="147"/>
      <c r="J11" s="166" t="s">
        <v>450</v>
      </c>
    </row>
    <row r="12" spans="1:10" ht="57.95">
      <c r="B12" t="s">
        <v>294</v>
      </c>
      <c r="C12" s="2" t="s">
        <v>295</v>
      </c>
      <c r="D12" t="s">
        <v>45</v>
      </c>
      <c r="H12" s="159" t="s">
        <v>451</v>
      </c>
      <c r="J12" s="145" t="s">
        <v>452</v>
      </c>
    </row>
    <row r="13" spans="1:10" ht="29.1">
      <c r="B13" t="s">
        <v>296</v>
      </c>
      <c r="C13" s="2" t="s">
        <v>297</v>
      </c>
      <c r="D13" t="s">
        <v>45</v>
      </c>
      <c r="H13" s="145" t="s">
        <v>453</v>
      </c>
      <c r="I13" s="145" t="s">
        <v>454</v>
      </c>
    </row>
    <row r="14" spans="1:10" ht="35.450000000000003">
      <c r="B14" t="s">
        <v>298</v>
      </c>
      <c r="C14" s="2" t="s">
        <v>299</v>
      </c>
      <c r="D14" t="s">
        <v>45</v>
      </c>
      <c r="G14" s="2" t="s">
        <v>455</v>
      </c>
      <c r="H14" s="159" t="s">
        <v>456</v>
      </c>
    </row>
    <row r="15" spans="1:10" ht="43.5">
      <c r="B15" t="s">
        <v>300</v>
      </c>
      <c r="C15" s="2" t="s">
        <v>301</v>
      </c>
      <c r="D15" t="s">
        <v>45</v>
      </c>
      <c r="H15" s="159" t="s">
        <v>457</v>
      </c>
      <c r="J15" s="145" t="s">
        <v>458</v>
      </c>
    </row>
    <row r="17" spans="1:10" ht="42.6" customHeight="1">
      <c r="A17" s="99" t="s">
        <v>323</v>
      </c>
      <c r="B17" s="99"/>
      <c r="C17" s="128"/>
      <c r="D17" s="99"/>
      <c r="E17" s="99" t="s">
        <v>440</v>
      </c>
      <c r="F17" s="99"/>
      <c r="G17" s="99"/>
      <c r="H17" s="147"/>
      <c r="I17" s="147"/>
      <c r="J17" s="147" t="s">
        <v>459</v>
      </c>
    </row>
    <row r="18" spans="1:10" ht="101.45">
      <c r="B18" t="s">
        <v>324</v>
      </c>
      <c r="C18" s="2" t="s">
        <v>325</v>
      </c>
      <c r="D18" t="s">
        <v>45</v>
      </c>
      <c r="F18" s="2" t="s">
        <v>460</v>
      </c>
      <c r="G18" s="2"/>
      <c r="H18" s="159" t="s">
        <v>461</v>
      </c>
    </row>
    <row r="19" spans="1:10" ht="93">
      <c r="B19" t="s">
        <v>327</v>
      </c>
      <c r="C19" s="2" t="s">
        <v>462</v>
      </c>
      <c r="D19" t="s">
        <v>45</v>
      </c>
      <c r="H19" s="159" t="s">
        <v>463</v>
      </c>
    </row>
    <row r="20" spans="1:10" ht="43.5">
      <c r="B20" t="s">
        <v>329</v>
      </c>
      <c r="C20" s="2" t="s">
        <v>330</v>
      </c>
      <c r="D20" t="s">
        <v>45</v>
      </c>
      <c r="F20" s="2" t="s">
        <v>326</v>
      </c>
      <c r="G20" s="2"/>
      <c r="H20" s="145" t="s">
        <v>453</v>
      </c>
      <c r="I20" s="145" t="s">
        <v>464</v>
      </c>
    </row>
    <row r="21" spans="1:10" ht="29.1">
      <c r="B21" t="s">
        <v>331</v>
      </c>
      <c r="C21" s="2" t="s">
        <v>332</v>
      </c>
      <c r="D21" t="s">
        <v>45</v>
      </c>
      <c r="H21" s="159" t="s">
        <v>465</v>
      </c>
    </row>
    <row r="23" spans="1:10" ht="27.6" customHeight="1">
      <c r="A23" s="99" t="s">
        <v>347</v>
      </c>
      <c r="B23" s="99"/>
      <c r="C23" s="128"/>
      <c r="D23" s="99"/>
      <c r="E23" s="128" t="s">
        <v>466</v>
      </c>
      <c r="F23" s="99"/>
      <c r="G23" s="99"/>
      <c r="H23" s="147"/>
      <c r="I23" s="147"/>
      <c r="J23" s="166" t="s">
        <v>467</v>
      </c>
    </row>
    <row r="24" spans="1:10" ht="104.45">
      <c r="B24" t="s">
        <v>348</v>
      </c>
      <c r="C24" s="2" t="s">
        <v>468</v>
      </c>
      <c r="D24" t="s">
        <v>45</v>
      </c>
      <c r="F24" s="2" t="s">
        <v>350</v>
      </c>
      <c r="G24" s="2"/>
      <c r="H24" s="159" t="s">
        <v>469</v>
      </c>
    </row>
    <row r="25" spans="1:10" ht="93">
      <c r="B25" t="s">
        <v>351</v>
      </c>
      <c r="C25" s="2" t="s">
        <v>470</v>
      </c>
      <c r="D25" t="s">
        <v>45</v>
      </c>
      <c r="F25" s="2" t="s">
        <v>350</v>
      </c>
      <c r="G25" s="2"/>
      <c r="H25" s="160" t="s">
        <v>471</v>
      </c>
    </row>
    <row r="26" spans="1:10">
      <c r="C26" s="165" t="s">
        <v>472</v>
      </c>
    </row>
    <row r="27" spans="1:10">
      <c r="A27" s="99" t="s">
        <v>362</v>
      </c>
      <c r="B27" s="99"/>
      <c r="C27" s="128"/>
      <c r="D27" s="99"/>
      <c r="E27" s="99" t="s">
        <v>473</v>
      </c>
      <c r="F27" s="99"/>
      <c r="G27" s="99"/>
      <c r="H27" s="147"/>
      <c r="I27" s="147"/>
      <c r="J27" s="149"/>
    </row>
    <row r="28" spans="1:10" ht="29.1">
      <c r="B28" t="s">
        <v>363</v>
      </c>
      <c r="C28" s="2" t="s">
        <v>364</v>
      </c>
    </row>
    <row r="31" spans="1:10" s="100" customFormat="1">
      <c r="A31" s="162" t="s">
        <v>474</v>
      </c>
      <c r="B31" s="162"/>
      <c r="C31" s="163"/>
      <c r="H31" s="161"/>
      <c r="I31" s="161"/>
      <c r="J31" s="151"/>
    </row>
    <row r="32" spans="1:10" ht="29.1">
      <c r="A32" s="3" t="s">
        <v>475</v>
      </c>
      <c r="B32" s="164"/>
      <c r="C32" s="165" t="s">
        <v>420</v>
      </c>
    </row>
    <row r="33" spans="1:3" ht="29.1">
      <c r="A33" s="164"/>
      <c r="B33" s="164"/>
      <c r="C33" s="165" t="s">
        <v>424</v>
      </c>
    </row>
    <row r="34" spans="1:3">
      <c r="A34" s="164"/>
      <c r="B34" s="164"/>
      <c r="C34" s="165" t="s">
        <v>476</v>
      </c>
    </row>
  </sheetData>
  <mergeCells count="1">
    <mergeCell ref="E11:G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V221"/>
  <sheetViews>
    <sheetView topLeftCell="Y169" workbookViewId="0">
      <selection activeCell="Z174" sqref="Z174"/>
    </sheetView>
    <sheetView tabSelected="1" workbookViewId="1">
      <selection activeCell="DE22" sqref="DE22"/>
    </sheetView>
  </sheetViews>
  <sheetFormatPr defaultRowHeight="15" customHeight="1"/>
  <cols>
    <col min="2" max="2" width="9.5703125" customWidth="1"/>
    <col min="3" max="3" width="39.42578125" customWidth="1"/>
    <col min="4" max="4" width="12" customWidth="1"/>
    <col min="5" max="5" width="18.28515625" customWidth="1"/>
    <col min="6" max="6" width="12.5703125" customWidth="1"/>
    <col min="7" max="7" width="28.140625" customWidth="1"/>
    <col min="8" max="8" width="21" customWidth="1"/>
    <col min="9" max="9" width="45.42578125" customWidth="1"/>
    <col min="10" max="10" width="59.7109375" style="2" customWidth="1"/>
    <col min="11" max="11" width="14.42578125" customWidth="1"/>
    <col min="12" max="12" width="11.5703125" customWidth="1"/>
    <col min="13" max="13" width="25.28515625" style="7" customWidth="1"/>
    <col min="14" max="14" width="24.7109375" customWidth="1"/>
    <col min="15" max="16" width="25.7109375" customWidth="1"/>
    <col min="17" max="17" width="24.85546875" customWidth="1"/>
    <col min="18" max="18" width="32.5703125" customWidth="1"/>
    <col min="19" max="19" width="29.42578125" customWidth="1"/>
    <col min="20" max="20" width="29.7109375" customWidth="1"/>
    <col min="21" max="21" width="44.140625" customWidth="1"/>
    <col min="22" max="22" width="45" customWidth="1"/>
    <col min="23" max="23" width="22" style="232" customWidth="1"/>
    <col min="24" max="126" width="9.140625" style="232"/>
  </cols>
  <sheetData>
    <row r="1" spans="1:126" s="3" customFormat="1" ht="48.75" customHeight="1">
      <c r="A1" s="187" t="s">
        <v>477</v>
      </c>
      <c r="B1" s="188"/>
      <c r="C1" s="188"/>
      <c r="D1" s="189"/>
      <c r="E1" s="179" t="s">
        <v>478</v>
      </c>
      <c r="F1" s="179"/>
      <c r="G1" s="179"/>
      <c r="H1" s="186"/>
      <c r="I1" s="187" t="s">
        <v>479</v>
      </c>
      <c r="J1" s="188"/>
      <c r="K1" s="188"/>
      <c r="L1" s="189"/>
      <c r="M1" s="178" t="s">
        <v>480</v>
      </c>
      <c r="N1" s="179"/>
      <c r="O1" s="179"/>
      <c r="P1" s="179"/>
      <c r="Q1" s="179"/>
      <c r="R1" s="174" t="s">
        <v>481</v>
      </c>
      <c r="S1" s="175"/>
      <c r="T1" s="175"/>
      <c r="U1" s="175"/>
      <c r="V1" s="176"/>
      <c r="W1" s="231"/>
      <c r="X1" s="231"/>
      <c r="Y1" s="231"/>
      <c r="Z1" s="231"/>
      <c r="AA1" s="231"/>
      <c r="AB1" s="231"/>
      <c r="AC1" s="231"/>
      <c r="AD1" s="231"/>
      <c r="AE1" s="231"/>
      <c r="AF1" s="231"/>
      <c r="AG1" s="231"/>
      <c r="AH1" s="231"/>
      <c r="AI1" s="231"/>
      <c r="AJ1" s="231"/>
      <c r="AK1" s="231"/>
      <c r="AL1" s="231"/>
      <c r="AM1" s="231"/>
      <c r="AN1" s="231"/>
      <c r="AO1" s="231"/>
      <c r="AP1" s="231"/>
      <c r="AQ1" s="231"/>
      <c r="AR1" s="231"/>
      <c r="AS1" s="231"/>
      <c r="AT1" s="231"/>
      <c r="AU1" s="231"/>
      <c r="AV1" s="231"/>
      <c r="AW1" s="231"/>
      <c r="AX1" s="231"/>
      <c r="AY1" s="231"/>
      <c r="AZ1" s="231"/>
      <c r="BA1" s="231"/>
      <c r="BB1" s="231"/>
      <c r="BC1" s="231"/>
      <c r="BD1" s="231"/>
      <c r="BE1" s="231"/>
      <c r="BF1" s="231"/>
      <c r="BG1" s="231"/>
      <c r="BH1" s="231"/>
      <c r="BI1" s="231"/>
      <c r="BJ1" s="231"/>
      <c r="BK1" s="231"/>
      <c r="BL1" s="231"/>
      <c r="BM1" s="231"/>
      <c r="BN1" s="231"/>
      <c r="BO1" s="231"/>
      <c r="BP1" s="231"/>
      <c r="BQ1" s="231"/>
      <c r="BR1" s="231"/>
      <c r="BS1" s="231"/>
      <c r="BT1" s="231"/>
      <c r="BU1" s="231"/>
      <c r="BV1" s="231"/>
      <c r="BW1" s="231"/>
      <c r="BX1" s="231"/>
      <c r="BY1" s="231"/>
      <c r="BZ1" s="231"/>
      <c r="CA1" s="231"/>
      <c r="CB1" s="231"/>
      <c r="CC1" s="231"/>
      <c r="CD1" s="231"/>
      <c r="CE1" s="231"/>
      <c r="CF1" s="231"/>
      <c r="CG1" s="231"/>
      <c r="CH1" s="231"/>
      <c r="CI1" s="231"/>
      <c r="CJ1" s="231"/>
      <c r="CK1" s="231"/>
      <c r="CL1" s="231"/>
      <c r="CM1" s="231"/>
      <c r="CN1" s="231"/>
      <c r="CO1" s="231"/>
      <c r="CP1" s="231"/>
      <c r="CQ1" s="231"/>
      <c r="CR1" s="231"/>
      <c r="CS1" s="231"/>
      <c r="CT1" s="231"/>
      <c r="CU1" s="231"/>
      <c r="CV1" s="231"/>
      <c r="CW1" s="231"/>
      <c r="CX1" s="231"/>
      <c r="CY1" s="231"/>
      <c r="CZ1" s="231"/>
      <c r="DA1" s="231"/>
      <c r="DB1" s="231"/>
      <c r="DC1" s="231"/>
      <c r="DD1" s="231"/>
      <c r="DE1" s="231"/>
      <c r="DF1" s="231"/>
      <c r="DG1" s="231"/>
      <c r="DH1" s="231"/>
      <c r="DI1" s="231"/>
      <c r="DJ1" s="231"/>
      <c r="DK1" s="231"/>
      <c r="DL1" s="231"/>
      <c r="DM1" s="231"/>
      <c r="DN1" s="231"/>
      <c r="DO1" s="231"/>
      <c r="DP1" s="231"/>
      <c r="DQ1" s="231"/>
      <c r="DR1" s="231"/>
      <c r="DS1" s="231"/>
      <c r="DT1" s="231"/>
      <c r="DU1" s="231"/>
      <c r="DV1" s="231"/>
    </row>
    <row r="2" spans="1:126" s="3" customFormat="1" ht="60" customHeight="1">
      <c r="A2" s="192" t="s">
        <v>482</v>
      </c>
      <c r="B2" s="193" t="s">
        <v>483</v>
      </c>
      <c r="C2" s="193" t="s">
        <v>0</v>
      </c>
      <c r="D2" s="191" t="s">
        <v>484</v>
      </c>
      <c r="E2" s="175" t="s">
        <v>485</v>
      </c>
      <c r="F2" s="175" t="s">
        <v>486</v>
      </c>
      <c r="G2" s="175" t="s">
        <v>487</v>
      </c>
      <c r="H2" s="176" t="s">
        <v>488</v>
      </c>
      <c r="I2" s="175" t="s">
        <v>1</v>
      </c>
      <c r="J2" s="180" t="s">
        <v>2</v>
      </c>
      <c r="K2" s="175" t="s">
        <v>6</v>
      </c>
      <c r="L2" s="176" t="s">
        <v>434</v>
      </c>
      <c r="M2" s="180" t="s">
        <v>489</v>
      </c>
      <c r="N2" s="180"/>
      <c r="O2" s="180"/>
      <c r="P2" s="180"/>
      <c r="Q2" s="181"/>
      <c r="R2" s="182" t="s">
        <v>490</v>
      </c>
      <c r="S2" s="182"/>
      <c r="T2" s="182"/>
      <c r="U2" s="182"/>
      <c r="V2" s="183"/>
      <c r="W2" s="231"/>
      <c r="X2" s="231"/>
      <c r="Y2" s="231"/>
      <c r="Z2" s="231"/>
      <c r="AA2" s="231"/>
      <c r="AB2" s="231"/>
      <c r="AC2" s="231"/>
      <c r="AD2" s="231"/>
      <c r="AE2" s="231"/>
      <c r="AF2" s="231"/>
      <c r="AG2" s="231"/>
      <c r="AH2" s="231"/>
      <c r="AI2" s="231"/>
      <c r="AJ2" s="231"/>
      <c r="AK2" s="231"/>
      <c r="AL2" s="231"/>
      <c r="AM2" s="231"/>
      <c r="AN2" s="231"/>
      <c r="AO2" s="231"/>
      <c r="AP2" s="231"/>
      <c r="AQ2" s="231"/>
      <c r="AR2" s="231"/>
      <c r="AS2" s="231"/>
      <c r="AT2" s="231"/>
      <c r="AU2" s="231"/>
      <c r="AV2" s="231"/>
      <c r="AW2" s="231"/>
      <c r="AX2" s="231"/>
      <c r="AY2" s="231"/>
      <c r="AZ2" s="231"/>
      <c r="BA2" s="231"/>
      <c r="BB2" s="231"/>
      <c r="BC2" s="231"/>
      <c r="BD2" s="231"/>
      <c r="BE2" s="231"/>
      <c r="BF2" s="231"/>
      <c r="BG2" s="231"/>
      <c r="BH2" s="231"/>
      <c r="BI2" s="231"/>
      <c r="BJ2" s="231"/>
      <c r="BK2" s="231"/>
      <c r="BL2" s="231"/>
      <c r="BM2" s="231"/>
      <c r="BN2" s="231"/>
      <c r="BO2" s="231"/>
      <c r="BP2" s="231"/>
      <c r="BQ2" s="231"/>
      <c r="BR2" s="231"/>
      <c r="BS2" s="231"/>
      <c r="BT2" s="231"/>
      <c r="BU2" s="231"/>
      <c r="BV2" s="231"/>
      <c r="BW2" s="231"/>
      <c r="BX2" s="231"/>
      <c r="BY2" s="231"/>
      <c r="BZ2" s="231"/>
      <c r="CA2" s="231"/>
      <c r="CB2" s="231"/>
      <c r="CC2" s="231"/>
      <c r="CD2" s="231"/>
      <c r="CE2" s="231"/>
      <c r="CF2" s="231"/>
      <c r="CG2" s="231"/>
      <c r="CH2" s="231"/>
      <c r="CI2" s="231"/>
      <c r="CJ2" s="231"/>
      <c r="CK2" s="231"/>
      <c r="CL2" s="231"/>
      <c r="CM2" s="231"/>
      <c r="CN2" s="231"/>
      <c r="CO2" s="231"/>
      <c r="CP2" s="231"/>
      <c r="CQ2" s="231"/>
      <c r="CR2" s="231"/>
      <c r="CS2" s="231"/>
      <c r="CT2" s="231"/>
      <c r="CU2" s="231"/>
      <c r="CV2" s="231"/>
      <c r="CW2" s="231"/>
      <c r="CX2" s="231"/>
      <c r="CY2" s="231"/>
      <c r="CZ2" s="231"/>
      <c r="DA2" s="231"/>
      <c r="DB2" s="231"/>
      <c r="DC2" s="231"/>
      <c r="DD2" s="231"/>
      <c r="DE2" s="231"/>
      <c r="DF2" s="231"/>
      <c r="DG2" s="231"/>
      <c r="DH2" s="231"/>
      <c r="DI2" s="231"/>
      <c r="DJ2" s="231"/>
      <c r="DK2" s="231"/>
      <c r="DL2" s="231"/>
      <c r="DM2" s="231"/>
      <c r="DN2" s="231"/>
      <c r="DO2" s="231"/>
      <c r="DP2" s="231"/>
      <c r="DQ2" s="231"/>
      <c r="DR2" s="231"/>
      <c r="DS2" s="231"/>
      <c r="DT2" s="231"/>
      <c r="DU2" s="231"/>
      <c r="DV2" s="231"/>
    </row>
    <row r="3" spans="1:126" s="3" customFormat="1">
      <c r="A3" s="192"/>
      <c r="B3" s="193"/>
      <c r="C3" s="193"/>
      <c r="D3" s="191"/>
      <c r="E3" s="177"/>
      <c r="F3" s="177"/>
      <c r="G3" s="177"/>
      <c r="H3" s="185"/>
      <c r="I3" s="177"/>
      <c r="J3" s="184"/>
      <c r="K3" s="177"/>
      <c r="L3" s="185"/>
      <c r="M3" s="95" t="s">
        <v>491</v>
      </c>
      <c r="N3" s="95" t="s">
        <v>492</v>
      </c>
      <c r="O3" s="95" t="s">
        <v>493</v>
      </c>
      <c r="P3" s="95" t="s">
        <v>494</v>
      </c>
      <c r="Q3" s="96" t="s">
        <v>495</v>
      </c>
      <c r="R3" s="95" t="s">
        <v>496</v>
      </c>
      <c r="S3" s="95" t="s">
        <v>497</v>
      </c>
      <c r="T3" s="95" t="s">
        <v>498</v>
      </c>
      <c r="U3" s="95" t="s">
        <v>499</v>
      </c>
      <c r="V3" s="96" t="s">
        <v>500</v>
      </c>
      <c r="W3" s="231"/>
      <c r="X3" s="231"/>
      <c r="Y3" s="231"/>
      <c r="Z3" s="231"/>
      <c r="AA3" s="231"/>
      <c r="AB3" s="231"/>
      <c r="AC3" s="231"/>
      <c r="AD3" s="231"/>
      <c r="AE3" s="231"/>
      <c r="AF3" s="231"/>
      <c r="AG3" s="231"/>
      <c r="AH3" s="231"/>
      <c r="AI3" s="231"/>
      <c r="AJ3" s="231"/>
      <c r="AK3" s="231"/>
      <c r="AL3" s="231"/>
      <c r="AM3" s="231"/>
      <c r="AN3" s="231"/>
      <c r="AO3" s="231"/>
      <c r="AP3" s="231"/>
      <c r="AQ3" s="231"/>
      <c r="AR3" s="231"/>
      <c r="AS3" s="231"/>
      <c r="AT3" s="231"/>
      <c r="AU3" s="231"/>
      <c r="AV3" s="231"/>
      <c r="AW3" s="231"/>
      <c r="AX3" s="231"/>
      <c r="AY3" s="231"/>
      <c r="AZ3" s="231"/>
      <c r="BA3" s="231"/>
      <c r="BB3" s="231"/>
      <c r="BC3" s="231"/>
      <c r="BD3" s="231"/>
      <c r="BE3" s="231"/>
      <c r="BF3" s="231"/>
      <c r="BG3" s="231"/>
      <c r="BH3" s="231"/>
      <c r="BI3" s="231"/>
      <c r="BJ3" s="231"/>
      <c r="BK3" s="231"/>
      <c r="BL3" s="231"/>
      <c r="BM3" s="231"/>
      <c r="BN3" s="231"/>
      <c r="BO3" s="231"/>
      <c r="BP3" s="231"/>
      <c r="BQ3" s="231"/>
      <c r="BR3" s="231"/>
      <c r="BS3" s="231"/>
      <c r="BT3" s="231"/>
      <c r="BU3" s="231"/>
      <c r="BV3" s="231"/>
      <c r="BW3" s="231"/>
      <c r="BX3" s="231"/>
      <c r="BY3" s="231"/>
      <c r="BZ3" s="231"/>
      <c r="CA3" s="231"/>
      <c r="CB3" s="231"/>
      <c r="CC3" s="231"/>
      <c r="CD3" s="231"/>
      <c r="CE3" s="231"/>
      <c r="CF3" s="231"/>
      <c r="CG3" s="231"/>
      <c r="CH3" s="231"/>
      <c r="CI3" s="231"/>
      <c r="CJ3" s="231"/>
      <c r="CK3" s="231"/>
      <c r="CL3" s="231"/>
      <c r="CM3" s="231"/>
      <c r="CN3" s="231"/>
      <c r="CO3" s="231"/>
      <c r="CP3" s="231"/>
      <c r="CQ3" s="231"/>
      <c r="CR3" s="231"/>
      <c r="CS3" s="231"/>
      <c r="CT3" s="231"/>
      <c r="CU3" s="231"/>
      <c r="CV3" s="231"/>
      <c r="CW3" s="231"/>
      <c r="CX3" s="231"/>
      <c r="CY3" s="231"/>
      <c r="CZ3" s="231"/>
      <c r="DA3" s="231"/>
      <c r="DB3" s="231"/>
      <c r="DC3" s="231"/>
      <c r="DD3" s="231"/>
      <c r="DE3" s="231"/>
      <c r="DF3" s="231"/>
      <c r="DG3" s="231"/>
      <c r="DH3" s="231"/>
      <c r="DI3" s="231"/>
      <c r="DJ3" s="231"/>
      <c r="DK3" s="231"/>
      <c r="DL3" s="231"/>
      <c r="DM3" s="231"/>
      <c r="DN3" s="231"/>
      <c r="DO3" s="231"/>
      <c r="DP3" s="231"/>
      <c r="DQ3" s="231"/>
      <c r="DR3" s="231"/>
      <c r="DS3" s="231"/>
      <c r="DT3" s="231"/>
      <c r="DU3" s="231"/>
      <c r="DV3" s="231"/>
    </row>
    <row r="4" spans="1:126" s="1" customFormat="1">
      <c r="A4" s="40">
        <v>1</v>
      </c>
      <c r="B4" s="1" t="s">
        <v>501</v>
      </c>
      <c r="C4" s="1" t="s">
        <v>502</v>
      </c>
      <c r="D4" s="41">
        <v>3</v>
      </c>
      <c r="E4" s="1" t="s">
        <v>503</v>
      </c>
      <c r="F4" s="94" t="s">
        <v>504</v>
      </c>
      <c r="G4" s="1" t="s">
        <v>505</v>
      </c>
      <c r="H4" s="41"/>
      <c r="J4" s="134"/>
      <c r="L4" s="41"/>
      <c r="M4" s="226" t="s">
        <v>506</v>
      </c>
      <c r="N4" s="226"/>
      <c r="O4" s="226"/>
      <c r="P4" s="226"/>
      <c r="Q4" s="227" t="s">
        <v>506</v>
      </c>
      <c r="R4" s="226" t="s">
        <v>506</v>
      </c>
      <c r="S4" s="226"/>
      <c r="T4" s="226" t="s">
        <v>506</v>
      </c>
      <c r="U4" s="226"/>
      <c r="V4" s="227"/>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row>
    <row r="5" spans="1:126" ht="30.75">
      <c r="A5" s="42"/>
      <c r="D5" s="43"/>
      <c r="H5" s="43"/>
      <c r="I5" t="s">
        <v>9</v>
      </c>
      <c r="J5" s="2" t="s">
        <v>10</v>
      </c>
      <c r="K5">
        <v>1</v>
      </c>
      <c r="L5" s="43" t="s">
        <v>11</v>
      </c>
      <c r="M5" s="4"/>
      <c r="N5" s="4"/>
      <c r="O5" s="4"/>
      <c r="P5" s="4"/>
      <c r="Q5" s="228"/>
      <c r="R5" s="4"/>
      <c r="S5" s="4"/>
      <c r="T5" s="4" t="s">
        <v>45</v>
      </c>
      <c r="U5" s="4"/>
      <c r="V5" s="228"/>
    </row>
    <row r="6" spans="1:126" ht="30.75">
      <c r="A6" s="42"/>
      <c r="D6" s="43"/>
      <c r="H6" s="43"/>
      <c r="I6" t="s">
        <v>12</v>
      </c>
      <c r="J6" s="2" t="s">
        <v>13</v>
      </c>
      <c r="K6">
        <v>3</v>
      </c>
      <c r="L6" s="43" t="s">
        <v>11</v>
      </c>
      <c r="M6" s="4"/>
      <c r="N6" s="4"/>
      <c r="O6" s="4"/>
      <c r="P6" s="4"/>
      <c r="Q6" s="228" t="s">
        <v>45</v>
      </c>
      <c r="R6" s="4"/>
      <c r="S6" s="4"/>
      <c r="T6" s="4" t="s">
        <v>45</v>
      </c>
      <c r="U6" s="4"/>
      <c r="V6" s="228"/>
    </row>
    <row r="7" spans="1:126" ht="30.75">
      <c r="A7" s="42"/>
      <c r="D7" s="43"/>
      <c r="H7" s="43"/>
      <c r="I7" t="s">
        <v>14</v>
      </c>
      <c r="J7" s="2" t="s">
        <v>15</v>
      </c>
      <c r="K7">
        <v>2</v>
      </c>
      <c r="L7" s="43" t="s">
        <v>11</v>
      </c>
      <c r="M7" s="4"/>
      <c r="N7" s="4"/>
      <c r="O7" s="4"/>
      <c r="P7" s="4"/>
      <c r="Q7" s="228"/>
      <c r="R7" s="4"/>
      <c r="S7" s="4"/>
      <c r="T7" s="4" t="s">
        <v>45</v>
      </c>
      <c r="U7" s="4"/>
      <c r="V7" s="228"/>
    </row>
    <row r="8" spans="1:126" ht="30.75">
      <c r="A8" s="42"/>
      <c r="D8" s="43"/>
      <c r="H8" s="43"/>
      <c r="I8" t="s">
        <v>16</v>
      </c>
      <c r="J8" s="2" t="s">
        <v>17</v>
      </c>
      <c r="K8">
        <v>3</v>
      </c>
      <c r="L8" s="43" t="s">
        <v>11</v>
      </c>
      <c r="M8" s="4" t="s">
        <v>45</v>
      </c>
      <c r="N8" s="4"/>
      <c r="O8" s="4"/>
      <c r="P8" s="4"/>
      <c r="Q8" s="228"/>
      <c r="R8" s="4"/>
      <c r="S8" s="4"/>
      <c r="T8" s="4" t="s">
        <v>45</v>
      </c>
      <c r="U8" s="4"/>
      <c r="V8" s="228"/>
    </row>
    <row r="9" spans="1:126" ht="45.75">
      <c r="A9" s="42"/>
      <c r="D9" s="43"/>
      <c r="H9" s="43"/>
      <c r="I9" t="s">
        <v>18</v>
      </c>
      <c r="J9" s="2" t="s">
        <v>19</v>
      </c>
      <c r="K9">
        <v>3</v>
      </c>
      <c r="L9" s="43" t="s">
        <v>11</v>
      </c>
      <c r="M9" s="4" t="s">
        <v>45</v>
      </c>
      <c r="N9" s="4"/>
      <c r="O9" s="4"/>
      <c r="P9" s="4"/>
      <c r="Q9" s="228"/>
      <c r="R9" s="4"/>
      <c r="S9" s="4"/>
      <c r="T9" s="4" t="s">
        <v>45</v>
      </c>
      <c r="U9" s="4"/>
      <c r="V9" s="228"/>
    </row>
    <row r="10" spans="1:126" ht="30.75">
      <c r="A10" s="42"/>
      <c r="D10" s="43"/>
      <c r="H10" s="43"/>
      <c r="I10" t="s">
        <v>20</v>
      </c>
      <c r="J10" s="2" t="s">
        <v>21</v>
      </c>
      <c r="K10">
        <v>4</v>
      </c>
      <c r="L10" s="43" t="s">
        <v>11</v>
      </c>
      <c r="M10" s="4"/>
      <c r="N10" s="4"/>
      <c r="O10" s="4"/>
      <c r="P10" s="4"/>
      <c r="Q10" s="228"/>
      <c r="R10" s="4" t="s">
        <v>45</v>
      </c>
      <c r="S10" s="4"/>
      <c r="T10" s="4" t="s">
        <v>45</v>
      </c>
      <c r="U10" s="4"/>
      <c r="V10" s="228"/>
    </row>
    <row r="11" spans="1:126" s="1" customFormat="1" ht="15" customHeight="1">
      <c r="A11" s="129">
        <v>1</v>
      </c>
      <c r="B11" s="130" t="s">
        <v>507</v>
      </c>
      <c r="C11" s="130" t="s">
        <v>508</v>
      </c>
      <c r="D11" s="131">
        <v>3</v>
      </c>
      <c r="E11" s="130" t="s">
        <v>509</v>
      </c>
      <c r="F11" s="132" t="s">
        <v>504</v>
      </c>
      <c r="G11" s="130" t="s">
        <v>510</v>
      </c>
      <c r="H11" s="131"/>
      <c r="I11" s="130"/>
      <c r="J11" s="135"/>
      <c r="K11" s="130"/>
      <c r="L11" s="131"/>
      <c r="M11" s="229"/>
      <c r="N11" s="229"/>
      <c r="O11" s="229"/>
      <c r="P11" s="229"/>
      <c r="Q11" s="230"/>
      <c r="R11" s="229" t="s">
        <v>506</v>
      </c>
      <c r="S11" s="229"/>
      <c r="T11" s="229"/>
      <c r="U11" s="229" t="s">
        <v>506</v>
      </c>
      <c r="V11" s="230" t="s">
        <v>506</v>
      </c>
      <c r="W11" s="232"/>
      <c r="X11" s="232"/>
      <c r="Y11" s="232"/>
      <c r="Z11" s="232"/>
      <c r="AA11" s="232"/>
      <c r="AB11" s="232"/>
      <c r="AC11" s="232"/>
      <c r="AD11" s="232"/>
      <c r="AE11" s="232"/>
      <c r="AF11" s="232"/>
      <c r="AG11" s="232"/>
      <c r="AH11" s="232"/>
      <c r="AI11" s="232"/>
      <c r="AJ11" s="232"/>
      <c r="AK11" s="232"/>
      <c r="AL11" s="232"/>
      <c r="AM11" s="232"/>
      <c r="AN11" s="232"/>
      <c r="AO11" s="232"/>
      <c r="AP11" s="232"/>
      <c r="AQ11" s="232"/>
      <c r="AR11" s="232"/>
      <c r="AS11" s="232"/>
      <c r="AT11" s="232"/>
      <c r="AU11" s="232"/>
      <c r="AV11" s="232"/>
      <c r="AW11" s="232"/>
      <c r="AX11" s="232"/>
      <c r="AY11" s="232"/>
      <c r="AZ11" s="232"/>
      <c r="BA11" s="232"/>
      <c r="BB11" s="232"/>
      <c r="BC11" s="232"/>
      <c r="BD11" s="232"/>
      <c r="BE11" s="232"/>
      <c r="BF11" s="232"/>
      <c r="BG11" s="232"/>
      <c r="BH11" s="232"/>
      <c r="BI11" s="232"/>
      <c r="BJ11" s="232"/>
      <c r="BK11" s="232"/>
      <c r="BL11" s="232"/>
      <c r="BM11" s="232"/>
      <c r="BN11" s="232"/>
      <c r="BO11" s="232"/>
      <c r="BP11" s="232"/>
      <c r="BQ11" s="232"/>
      <c r="BR11" s="232"/>
      <c r="BS11" s="232"/>
      <c r="BT11" s="232"/>
      <c r="BU11" s="232"/>
      <c r="BV11" s="232"/>
      <c r="BW11" s="232"/>
      <c r="BX11" s="232"/>
      <c r="BY11" s="232"/>
      <c r="BZ11" s="232"/>
      <c r="CA11" s="232"/>
      <c r="CB11" s="232"/>
      <c r="CC11" s="232"/>
      <c r="CD11" s="232"/>
      <c r="CE11" s="232"/>
      <c r="CF11" s="232"/>
      <c r="CG11" s="232"/>
      <c r="CH11" s="232"/>
      <c r="CI11" s="232"/>
      <c r="CJ11" s="232"/>
      <c r="CK11" s="232"/>
      <c r="CL11" s="232"/>
      <c r="CM11" s="232"/>
      <c r="CN11" s="232"/>
      <c r="CO11" s="232"/>
      <c r="CP11" s="232"/>
      <c r="CQ11" s="232"/>
      <c r="CR11" s="232"/>
      <c r="CS11" s="232"/>
      <c r="CT11" s="232"/>
      <c r="CU11" s="232"/>
      <c r="CV11" s="232"/>
      <c r="CW11" s="232"/>
      <c r="CX11" s="232"/>
      <c r="CY11" s="232"/>
      <c r="CZ11" s="232"/>
      <c r="DA11" s="232"/>
      <c r="DB11" s="232"/>
      <c r="DC11" s="232"/>
      <c r="DD11" s="232"/>
      <c r="DE11" s="232"/>
      <c r="DF11" s="232"/>
      <c r="DG11" s="232"/>
      <c r="DH11" s="232"/>
      <c r="DI11" s="232"/>
      <c r="DJ11" s="232"/>
      <c r="DK11" s="232"/>
      <c r="DL11" s="232"/>
      <c r="DM11" s="232"/>
      <c r="DN11" s="232"/>
      <c r="DO11" s="232"/>
      <c r="DP11" s="232"/>
      <c r="DQ11" s="232"/>
      <c r="DR11" s="232"/>
      <c r="DS11" s="232"/>
      <c r="DT11" s="232"/>
      <c r="DU11" s="232"/>
      <c r="DV11" s="232"/>
    </row>
    <row r="12" spans="1:126" ht="15" customHeight="1">
      <c r="A12" s="42"/>
      <c r="D12" s="43"/>
      <c r="H12" s="43"/>
      <c r="I12" t="s">
        <v>511</v>
      </c>
      <c r="J12" s="2" t="s">
        <v>512</v>
      </c>
      <c r="K12">
        <v>2</v>
      </c>
      <c r="L12" s="43" t="s">
        <v>11</v>
      </c>
      <c r="M12" s="4"/>
      <c r="N12" s="4"/>
      <c r="O12" s="4"/>
      <c r="P12" s="4"/>
      <c r="Q12" s="228"/>
      <c r="R12" s="4" t="s">
        <v>45</v>
      </c>
      <c r="S12" s="4"/>
      <c r="T12" s="4"/>
      <c r="U12" s="4" t="s">
        <v>45</v>
      </c>
      <c r="V12" s="228"/>
    </row>
    <row r="13" spans="1:126" ht="15" customHeight="1">
      <c r="A13" s="42"/>
      <c r="D13" s="43"/>
      <c r="H13" s="43"/>
      <c r="I13" t="s">
        <v>513</v>
      </c>
      <c r="J13" s="2" t="s">
        <v>514</v>
      </c>
      <c r="K13">
        <v>2</v>
      </c>
      <c r="L13" s="43" t="s">
        <v>11</v>
      </c>
      <c r="M13" s="4"/>
      <c r="N13" s="4"/>
      <c r="O13" s="4"/>
      <c r="P13" s="4"/>
      <c r="Q13" s="228"/>
      <c r="R13" s="4"/>
      <c r="S13" s="4"/>
      <c r="T13" s="4"/>
      <c r="U13" s="4"/>
      <c r="V13" s="228" t="s">
        <v>45</v>
      </c>
    </row>
    <row r="14" spans="1:126" ht="15" customHeight="1">
      <c r="A14" s="42"/>
      <c r="D14" s="43"/>
      <c r="H14" s="43"/>
      <c r="I14" t="s">
        <v>515</v>
      </c>
      <c r="J14" s="2" t="s">
        <v>516</v>
      </c>
      <c r="K14">
        <v>2</v>
      </c>
      <c r="L14" s="43" t="s">
        <v>11</v>
      </c>
      <c r="M14" s="4"/>
      <c r="N14" s="4"/>
      <c r="O14" s="4"/>
      <c r="P14" s="4"/>
      <c r="Q14" s="228"/>
      <c r="R14" s="4"/>
      <c r="S14" s="4"/>
      <c r="T14" s="4"/>
      <c r="U14" s="4" t="s">
        <v>45</v>
      </c>
      <c r="V14" s="228"/>
    </row>
    <row r="15" spans="1:126" s="1" customFormat="1">
      <c r="A15" s="40">
        <v>1</v>
      </c>
      <c r="B15" s="1" t="s">
        <v>517</v>
      </c>
      <c r="C15" s="1" t="s">
        <v>518</v>
      </c>
      <c r="D15" s="41">
        <v>3</v>
      </c>
      <c r="E15" s="1" t="s">
        <v>503</v>
      </c>
      <c r="F15" s="94" t="s">
        <v>504</v>
      </c>
      <c r="G15" s="1" t="s">
        <v>505</v>
      </c>
      <c r="H15" s="41"/>
      <c r="J15" s="134"/>
      <c r="L15" s="41"/>
      <c r="M15" s="226" t="s">
        <v>506</v>
      </c>
      <c r="N15" s="226"/>
      <c r="O15" s="226"/>
      <c r="P15" s="226"/>
      <c r="Q15" s="227" t="s">
        <v>506</v>
      </c>
      <c r="R15" s="226" t="s">
        <v>506</v>
      </c>
      <c r="S15" s="226"/>
      <c r="T15" s="226"/>
      <c r="U15" s="226" t="s">
        <v>506</v>
      </c>
      <c r="V15" s="227"/>
      <c r="W15" s="232"/>
      <c r="X15" s="232"/>
      <c r="Y15" s="232"/>
      <c r="Z15" s="232"/>
      <c r="AA15" s="232"/>
      <c r="AB15" s="232"/>
      <c r="AC15" s="232"/>
      <c r="AD15" s="232"/>
      <c r="AE15" s="232"/>
      <c r="AF15" s="232"/>
      <c r="AG15" s="232"/>
      <c r="AH15" s="232"/>
      <c r="AI15" s="232"/>
      <c r="AJ15" s="232"/>
      <c r="AK15" s="232"/>
      <c r="AL15" s="232"/>
      <c r="AM15" s="232"/>
      <c r="AN15" s="232"/>
      <c r="AO15" s="232"/>
      <c r="AP15" s="232"/>
      <c r="AQ15" s="232"/>
      <c r="AR15" s="232"/>
      <c r="AS15" s="232"/>
      <c r="AT15" s="232"/>
      <c r="AU15" s="232"/>
      <c r="AV15" s="232"/>
      <c r="AW15" s="232"/>
      <c r="AX15" s="232"/>
      <c r="AY15" s="232"/>
      <c r="AZ15" s="232"/>
      <c r="BA15" s="232"/>
      <c r="BB15" s="232"/>
      <c r="BC15" s="232"/>
      <c r="BD15" s="232"/>
      <c r="BE15" s="232"/>
      <c r="BF15" s="232"/>
      <c r="BG15" s="232"/>
      <c r="BH15" s="232"/>
      <c r="BI15" s="232"/>
      <c r="BJ15" s="232"/>
      <c r="BK15" s="232"/>
      <c r="BL15" s="232"/>
      <c r="BM15" s="232"/>
      <c r="BN15" s="232"/>
      <c r="BO15" s="232"/>
      <c r="BP15" s="232"/>
      <c r="BQ15" s="232"/>
      <c r="BR15" s="232"/>
      <c r="BS15" s="232"/>
      <c r="BT15" s="232"/>
      <c r="BU15" s="232"/>
      <c r="BV15" s="232"/>
      <c r="BW15" s="232"/>
      <c r="BX15" s="232"/>
      <c r="BY15" s="232"/>
      <c r="BZ15" s="232"/>
      <c r="CA15" s="232"/>
      <c r="CB15" s="232"/>
      <c r="CC15" s="232"/>
      <c r="CD15" s="232"/>
      <c r="CE15" s="232"/>
      <c r="CF15" s="232"/>
      <c r="CG15" s="232"/>
      <c r="CH15" s="232"/>
      <c r="CI15" s="232"/>
      <c r="CJ15" s="232"/>
      <c r="CK15" s="232"/>
      <c r="CL15" s="232"/>
      <c r="CM15" s="232"/>
      <c r="CN15" s="232"/>
      <c r="CO15" s="232"/>
      <c r="CP15" s="232"/>
      <c r="CQ15" s="232"/>
      <c r="CR15" s="232"/>
      <c r="CS15" s="232"/>
      <c r="CT15" s="232"/>
      <c r="CU15" s="232"/>
      <c r="CV15" s="232"/>
      <c r="CW15" s="232"/>
      <c r="CX15" s="232"/>
      <c r="CY15" s="232"/>
      <c r="CZ15" s="232"/>
      <c r="DA15" s="232"/>
      <c r="DB15" s="232"/>
      <c r="DC15" s="232"/>
      <c r="DD15" s="232"/>
      <c r="DE15" s="232"/>
      <c r="DF15" s="232"/>
      <c r="DG15" s="232"/>
      <c r="DH15" s="232"/>
      <c r="DI15" s="232"/>
      <c r="DJ15" s="232"/>
      <c r="DK15" s="232"/>
      <c r="DL15" s="232"/>
      <c r="DM15" s="232"/>
      <c r="DN15" s="232"/>
      <c r="DO15" s="232"/>
      <c r="DP15" s="232"/>
      <c r="DQ15" s="232"/>
      <c r="DR15" s="232"/>
      <c r="DS15" s="232"/>
      <c r="DT15" s="232"/>
      <c r="DU15" s="232"/>
      <c r="DV15" s="232"/>
    </row>
    <row r="16" spans="1:126" ht="30.75">
      <c r="A16" s="42"/>
      <c r="D16" s="43"/>
      <c r="H16" s="43"/>
      <c r="I16" t="s">
        <v>33</v>
      </c>
      <c r="J16" s="2" t="s">
        <v>34</v>
      </c>
      <c r="K16">
        <v>2</v>
      </c>
      <c r="L16" s="43" t="s">
        <v>35</v>
      </c>
      <c r="M16" s="4"/>
      <c r="N16" s="4"/>
      <c r="O16" s="4"/>
      <c r="P16" s="4"/>
      <c r="Q16" s="228"/>
      <c r="R16" s="4" t="s">
        <v>45</v>
      </c>
      <c r="S16" s="4"/>
      <c r="T16" s="4"/>
      <c r="U16" s="4" t="s">
        <v>45</v>
      </c>
      <c r="V16" s="228"/>
    </row>
    <row r="17" spans="1:126">
      <c r="A17" s="42"/>
      <c r="D17" s="43"/>
      <c r="H17" s="43"/>
      <c r="I17" t="s">
        <v>36</v>
      </c>
      <c r="J17" s="2" t="s">
        <v>37</v>
      </c>
      <c r="K17">
        <v>3</v>
      </c>
      <c r="L17" s="43" t="s">
        <v>35</v>
      </c>
      <c r="M17" s="4" t="s">
        <v>45</v>
      </c>
      <c r="N17" s="4"/>
      <c r="O17" s="4"/>
      <c r="P17" s="4"/>
      <c r="Q17" s="228"/>
      <c r="R17" s="4" t="s">
        <v>45</v>
      </c>
      <c r="S17" s="4"/>
      <c r="T17" s="4"/>
      <c r="U17" s="4"/>
      <c r="V17" s="228"/>
    </row>
    <row r="18" spans="1:126">
      <c r="A18" s="42"/>
      <c r="D18" s="43"/>
      <c r="H18" s="43"/>
      <c r="I18" t="s">
        <v>38</v>
      </c>
      <c r="J18" s="2" t="s">
        <v>39</v>
      </c>
      <c r="K18">
        <v>3</v>
      </c>
      <c r="L18" s="43" t="s">
        <v>35</v>
      </c>
      <c r="M18" s="4" t="s">
        <v>45</v>
      </c>
      <c r="N18" s="4"/>
      <c r="O18" s="4"/>
      <c r="P18" s="4"/>
      <c r="Q18" s="228" t="s">
        <v>45</v>
      </c>
      <c r="R18" s="4"/>
      <c r="S18" s="4"/>
      <c r="T18" s="4"/>
      <c r="U18" s="4" t="s">
        <v>45</v>
      </c>
      <c r="V18" s="228"/>
    </row>
    <row r="19" spans="1:126" s="130" customFormat="1">
      <c r="A19" s="129">
        <v>1</v>
      </c>
      <c r="B19" s="130" t="s">
        <v>507</v>
      </c>
      <c r="C19" s="130" t="s">
        <v>519</v>
      </c>
      <c r="D19" s="131">
        <v>3</v>
      </c>
      <c r="E19" s="130" t="s">
        <v>509</v>
      </c>
      <c r="F19" s="132" t="s">
        <v>504</v>
      </c>
      <c r="G19" s="130" t="s">
        <v>510</v>
      </c>
      <c r="H19" s="131" t="s">
        <v>520</v>
      </c>
      <c r="J19" s="135"/>
      <c r="L19" s="131"/>
      <c r="M19" s="229" t="s">
        <v>506</v>
      </c>
      <c r="N19" s="229"/>
      <c r="O19" s="229" t="s">
        <v>506</v>
      </c>
      <c r="P19" s="229"/>
      <c r="Q19" s="230" t="s">
        <v>506</v>
      </c>
      <c r="R19" s="229" t="s">
        <v>506</v>
      </c>
      <c r="S19" s="229"/>
      <c r="T19" s="229" t="s">
        <v>506</v>
      </c>
      <c r="U19" s="229"/>
      <c r="V19" s="230" t="s">
        <v>506</v>
      </c>
      <c r="W19" s="232"/>
      <c r="X19" s="232"/>
      <c r="Y19" s="232"/>
      <c r="Z19" s="232"/>
      <c r="AA19" s="232"/>
      <c r="AB19" s="232"/>
      <c r="AC19" s="232"/>
      <c r="AD19" s="232"/>
      <c r="AE19" s="232"/>
      <c r="AF19" s="232"/>
      <c r="AG19" s="232"/>
      <c r="AH19" s="232"/>
      <c r="AI19" s="232"/>
      <c r="AJ19" s="232"/>
      <c r="AK19" s="232"/>
      <c r="AL19" s="232"/>
      <c r="AM19" s="232"/>
      <c r="AN19" s="232"/>
      <c r="AO19" s="232"/>
      <c r="AP19" s="232"/>
      <c r="AQ19" s="232"/>
      <c r="AR19" s="232"/>
      <c r="AS19" s="232"/>
      <c r="AT19" s="232"/>
      <c r="AU19" s="232"/>
      <c r="AV19" s="232"/>
      <c r="AW19" s="232"/>
      <c r="AX19" s="232"/>
      <c r="AY19" s="232"/>
      <c r="AZ19" s="232"/>
      <c r="BA19" s="232"/>
      <c r="BB19" s="232"/>
      <c r="BC19" s="232"/>
      <c r="BD19" s="232"/>
      <c r="BE19" s="232"/>
      <c r="BF19" s="232"/>
      <c r="BG19" s="232"/>
      <c r="BH19" s="232"/>
      <c r="BI19" s="232"/>
      <c r="BJ19" s="232"/>
      <c r="BK19" s="232"/>
      <c r="BL19" s="232"/>
      <c r="BM19" s="232"/>
      <c r="BN19" s="232"/>
      <c r="BO19" s="232"/>
      <c r="BP19" s="232"/>
      <c r="BQ19" s="232"/>
      <c r="BR19" s="232"/>
      <c r="BS19" s="232"/>
      <c r="BT19" s="232"/>
      <c r="BU19" s="232"/>
      <c r="BV19" s="232"/>
      <c r="BW19" s="232"/>
      <c r="BX19" s="232"/>
      <c r="BY19" s="232"/>
      <c r="BZ19" s="232"/>
      <c r="CA19" s="232"/>
      <c r="CB19" s="232"/>
      <c r="CC19" s="232"/>
      <c r="CD19" s="232"/>
      <c r="CE19" s="232"/>
      <c r="CF19" s="232"/>
      <c r="CG19" s="232"/>
      <c r="CH19" s="232"/>
      <c r="CI19" s="232"/>
      <c r="CJ19" s="232"/>
      <c r="CK19" s="232"/>
      <c r="CL19" s="232"/>
      <c r="CM19" s="232"/>
      <c r="CN19" s="232"/>
      <c r="CO19" s="232"/>
      <c r="CP19" s="232"/>
      <c r="CQ19" s="232"/>
      <c r="CR19" s="232"/>
      <c r="CS19" s="232"/>
      <c r="CT19" s="232"/>
      <c r="CU19" s="232"/>
      <c r="CV19" s="232"/>
      <c r="CW19" s="232"/>
      <c r="CX19" s="232"/>
      <c r="CY19" s="232"/>
      <c r="CZ19" s="232"/>
      <c r="DA19" s="232"/>
      <c r="DB19" s="232"/>
      <c r="DC19" s="232"/>
      <c r="DD19" s="232"/>
      <c r="DE19" s="232"/>
      <c r="DF19" s="232"/>
      <c r="DG19" s="232"/>
      <c r="DH19" s="232"/>
      <c r="DI19" s="232"/>
      <c r="DJ19" s="232"/>
      <c r="DK19" s="232"/>
      <c r="DL19" s="232"/>
      <c r="DM19" s="232"/>
      <c r="DN19" s="232"/>
      <c r="DO19" s="232"/>
      <c r="DP19" s="232"/>
      <c r="DQ19" s="232"/>
      <c r="DR19" s="232"/>
      <c r="DS19" s="232"/>
      <c r="DT19" s="232"/>
      <c r="DU19" s="232"/>
      <c r="DV19" s="232"/>
    </row>
    <row r="20" spans="1:126" ht="30.75">
      <c r="A20" s="42"/>
      <c r="D20" s="43"/>
      <c r="H20" s="43"/>
      <c r="I20" t="s">
        <v>324</v>
      </c>
      <c r="J20" s="2" t="s">
        <v>325</v>
      </c>
      <c r="K20">
        <v>2</v>
      </c>
      <c r="L20" s="43" t="s">
        <v>93</v>
      </c>
      <c r="M20" s="4"/>
      <c r="N20" s="4"/>
      <c r="O20" s="4" t="s">
        <v>45</v>
      </c>
      <c r="P20" s="4"/>
      <c r="Q20" s="228" t="s">
        <v>45</v>
      </c>
      <c r="R20" s="4"/>
      <c r="S20" s="4"/>
      <c r="T20" s="4" t="s">
        <v>45</v>
      </c>
      <c r="U20" s="4"/>
      <c r="V20" s="228" t="s">
        <v>45</v>
      </c>
    </row>
    <row r="21" spans="1:126" ht="30.75">
      <c r="A21" s="42"/>
      <c r="D21" s="43"/>
      <c r="H21" s="43"/>
      <c r="I21" t="s">
        <v>327</v>
      </c>
      <c r="J21" s="2" t="s">
        <v>521</v>
      </c>
      <c r="K21">
        <v>3</v>
      </c>
      <c r="L21" s="43" t="s">
        <v>93</v>
      </c>
      <c r="M21" s="4" t="s">
        <v>45</v>
      </c>
      <c r="N21" s="4"/>
      <c r="O21" s="4" t="s">
        <v>45</v>
      </c>
      <c r="P21" s="4"/>
      <c r="Q21" s="228"/>
      <c r="R21" s="4"/>
      <c r="S21" s="4"/>
      <c r="T21" s="4" t="s">
        <v>45</v>
      </c>
      <c r="U21" s="4"/>
      <c r="V21" s="228"/>
    </row>
    <row r="22" spans="1:126">
      <c r="A22" s="42"/>
      <c r="D22" s="43"/>
      <c r="H22" s="43"/>
      <c r="I22" t="s">
        <v>329</v>
      </c>
      <c r="J22" s="2" t="s">
        <v>522</v>
      </c>
      <c r="K22">
        <v>2</v>
      </c>
      <c r="L22" s="43" t="s">
        <v>93</v>
      </c>
      <c r="M22" s="4"/>
      <c r="N22" s="4"/>
      <c r="O22" s="4" t="s">
        <v>45</v>
      </c>
      <c r="P22" s="4"/>
      <c r="Q22" s="228" t="s">
        <v>45</v>
      </c>
      <c r="R22" s="4"/>
      <c r="S22" s="4"/>
      <c r="T22" s="4" t="s">
        <v>45</v>
      </c>
      <c r="U22" s="4"/>
      <c r="V22" s="228" t="s">
        <v>45</v>
      </c>
    </row>
    <row r="23" spans="1:126" ht="30.75">
      <c r="A23" s="42"/>
      <c r="D23" s="43"/>
      <c r="H23" s="43"/>
      <c r="I23" t="s">
        <v>331</v>
      </c>
      <c r="J23" s="2" t="s">
        <v>332</v>
      </c>
      <c r="K23">
        <v>2</v>
      </c>
      <c r="L23" s="43" t="s">
        <v>93</v>
      </c>
      <c r="M23" s="4"/>
      <c r="N23" s="4"/>
      <c r="O23" s="4" t="s">
        <v>45</v>
      </c>
      <c r="P23" s="4"/>
      <c r="Q23" s="228" t="s">
        <v>45</v>
      </c>
      <c r="R23" s="4" t="s">
        <v>45</v>
      </c>
      <c r="S23" s="4"/>
      <c r="T23" s="4" t="s">
        <v>45</v>
      </c>
      <c r="U23" s="4"/>
      <c r="V23" s="228"/>
    </row>
    <row r="24" spans="1:126" s="1" customFormat="1">
      <c r="A24" s="40">
        <v>2</v>
      </c>
      <c r="B24" s="1" t="s">
        <v>523</v>
      </c>
      <c r="C24" s="1" t="s">
        <v>524</v>
      </c>
      <c r="D24" s="41">
        <v>3</v>
      </c>
      <c r="E24" s="1" t="s">
        <v>503</v>
      </c>
      <c r="F24" s="94" t="s">
        <v>525</v>
      </c>
      <c r="G24" s="1" t="s">
        <v>526</v>
      </c>
      <c r="H24" s="41"/>
      <c r="J24" s="134"/>
      <c r="L24" s="41"/>
      <c r="M24" s="226" t="s">
        <v>506</v>
      </c>
      <c r="N24" s="226"/>
      <c r="O24" s="226"/>
      <c r="P24" s="226"/>
      <c r="Q24" s="227" t="s">
        <v>506</v>
      </c>
      <c r="R24" s="226" t="s">
        <v>506</v>
      </c>
      <c r="S24" s="226"/>
      <c r="T24" s="226" t="s">
        <v>506</v>
      </c>
      <c r="U24" s="226"/>
      <c r="V24" s="227"/>
      <c r="W24" s="232"/>
      <c r="X24" s="232"/>
      <c r="Y24" s="232"/>
      <c r="Z24" s="232"/>
      <c r="AA24" s="232"/>
      <c r="AB24" s="232"/>
      <c r="AC24" s="232"/>
      <c r="AD24" s="232"/>
      <c r="AE24" s="232"/>
      <c r="AF24" s="232"/>
      <c r="AG24" s="232"/>
      <c r="AH24" s="232"/>
      <c r="AI24" s="232"/>
      <c r="AJ24" s="232"/>
      <c r="AK24" s="232"/>
      <c r="AL24" s="232"/>
      <c r="AM24" s="232"/>
      <c r="AN24" s="232"/>
      <c r="AO24" s="232"/>
      <c r="AP24" s="232"/>
      <c r="AQ24" s="232"/>
      <c r="AR24" s="232"/>
      <c r="AS24" s="232"/>
      <c r="AT24" s="232"/>
      <c r="AU24" s="232"/>
      <c r="AV24" s="232"/>
      <c r="AW24" s="232"/>
      <c r="AX24" s="232"/>
      <c r="AY24" s="232"/>
      <c r="AZ24" s="232"/>
      <c r="BA24" s="232"/>
      <c r="BB24" s="232"/>
      <c r="BC24" s="232"/>
      <c r="BD24" s="232"/>
      <c r="BE24" s="232"/>
      <c r="BF24" s="232"/>
      <c r="BG24" s="232"/>
      <c r="BH24" s="232"/>
      <c r="BI24" s="232"/>
      <c r="BJ24" s="232"/>
      <c r="BK24" s="232"/>
      <c r="BL24" s="232"/>
      <c r="BM24" s="232"/>
      <c r="BN24" s="232"/>
      <c r="BO24" s="232"/>
      <c r="BP24" s="232"/>
      <c r="BQ24" s="232"/>
      <c r="BR24" s="232"/>
      <c r="BS24" s="232"/>
      <c r="BT24" s="232"/>
      <c r="BU24" s="232"/>
      <c r="BV24" s="232"/>
      <c r="BW24" s="232"/>
      <c r="BX24" s="232"/>
      <c r="BY24" s="232"/>
      <c r="BZ24" s="232"/>
      <c r="CA24" s="232"/>
      <c r="CB24" s="232"/>
      <c r="CC24" s="232"/>
      <c r="CD24" s="232"/>
      <c r="CE24" s="232"/>
      <c r="CF24" s="232"/>
      <c r="CG24" s="232"/>
      <c r="CH24" s="232"/>
      <c r="CI24" s="232"/>
      <c r="CJ24" s="232"/>
      <c r="CK24" s="232"/>
      <c r="CL24" s="232"/>
      <c r="CM24" s="232"/>
      <c r="CN24" s="232"/>
      <c r="CO24" s="232"/>
      <c r="CP24" s="232"/>
      <c r="CQ24" s="232"/>
      <c r="CR24" s="232"/>
      <c r="CS24" s="232"/>
      <c r="CT24" s="232"/>
      <c r="CU24" s="232"/>
      <c r="CV24" s="232"/>
      <c r="CW24" s="232"/>
      <c r="CX24" s="232"/>
      <c r="CY24" s="232"/>
      <c r="CZ24" s="232"/>
      <c r="DA24" s="232"/>
      <c r="DB24" s="232"/>
      <c r="DC24" s="232"/>
      <c r="DD24" s="232"/>
      <c r="DE24" s="232"/>
      <c r="DF24" s="232"/>
      <c r="DG24" s="232"/>
      <c r="DH24" s="232"/>
      <c r="DI24" s="232"/>
      <c r="DJ24" s="232"/>
      <c r="DK24" s="232"/>
      <c r="DL24" s="232"/>
      <c r="DM24" s="232"/>
      <c r="DN24" s="232"/>
      <c r="DO24" s="232"/>
      <c r="DP24" s="232"/>
      <c r="DQ24" s="232"/>
      <c r="DR24" s="232"/>
      <c r="DS24" s="232"/>
      <c r="DT24" s="232"/>
      <c r="DU24" s="232"/>
      <c r="DV24" s="232"/>
    </row>
    <row r="25" spans="1:126" ht="14.45" customHeight="1">
      <c r="A25" s="42"/>
      <c r="D25" s="43"/>
      <c r="H25" s="43"/>
      <c r="I25" t="s">
        <v>23</v>
      </c>
      <c r="J25" s="2" t="s">
        <v>24</v>
      </c>
      <c r="K25">
        <v>3</v>
      </c>
      <c r="L25" s="190" t="s">
        <v>25</v>
      </c>
      <c r="M25" s="4"/>
      <c r="N25" s="4"/>
      <c r="O25" s="4"/>
      <c r="P25" s="4"/>
      <c r="Q25" s="228"/>
      <c r="R25" s="4" t="s">
        <v>45</v>
      </c>
      <c r="S25" s="4"/>
      <c r="T25" s="4"/>
      <c r="U25" s="4"/>
      <c r="V25" s="228"/>
    </row>
    <row r="26" spans="1:126">
      <c r="A26" s="42"/>
      <c r="D26" s="43"/>
      <c r="H26" s="43"/>
      <c r="I26" t="s">
        <v>26</v>
      </c>
      <c r="J26" s="2" t="s">
        <v>27</v>
      </c>
      <c r="K26">
        <v>3</v>
      </c>
      <c r="L26" s="190"/>
      <c r="M26" s="4" t="s">
        <v>45</v>
      </c>
      <c r="N26" s="4"/>
      <c r="O26" s="4"/>
      <c r="P26" s="4"/>
      <c r="Q26" s="228" t="s">
        <v>45</v>
      </c>
      <c r="R26" s="4" t="s">
        <v>45</v>
      </c>
      <c r="S26" s="4"/>
      <c r="T26" s="4"/>
      <c r="U26" s="4"/>
      <c r="V26" s="228"/>
    </row>
    <row r="27" spans="1:126">
      <c r="A27" s="42"/>
      <c r="D27" s="43"/>
      <c r="H27" s="43"/>
      <c r="I27" t="s">
        <v>28</v>
      </c>
      <c r="J27" s="2" t="s">
        <v>29</v>
      </c>
      <c r="K27">
        <v>3</v>
      </c>
      <c r="L27" s="190"/>
      <c r="M27" s="4" t="s">
        <v>45</v>
      </c>
      <c r="N27" s="4"/>
      <c r="O27" s="4"/>
      <c r="P27" s="4"/>
      <c r="Q27" s="228"/>
      <c r="R27" s="4"/>
      <c r="S27" s="4"/>
      <c r="T27" s="4" t="s">
        <v>45</v>
      </c>
      <c r="U27" s="4"/>
      <c r="V27" s="228"/>
    </row>
    <row r="28" spans="1:126">
      <c r="A28" s="42"/>
      <c r="D28" s="43"/>
      <c r="H28" s="43"/>
      <c r="I28" t="s">
        <v>30</v>
      </c>
      <c r="J28" s="2" t="s">
        <v>31</v>
      </c>
      <c r="K28">
        <v>3</v>
      </c>
      <c r="L28" s="190"/>
      <c r="M28" s="4" t="s">
        <v>45</v>
      </c>
      <c r="N28" s="4"/>
      <c r="O28" s="4"/>
      <c r="P28" s="4"/>
      <c r="Q28" s="228"/>
      <c r="R28" s="4" t="s">
        <v>45</v>
      </c>
      <c r="S28" s="4"/>
      <c r="T28" s="4"/>
      <c r="U28" s="4"/>
      <c r="V28" s="228"/>
    </row>
    <row r="29" spans="1:126" s="1" customFormat="1">
      <c r="A29" s="40">
        <v>2</v>
      </c>
      <c r="B29" s="1" t="s">
        <v>527</v>
      </c>
      <c r="C29" s="1" t="s">
        <v>528</v>
      </c>
      <c r="D29" s="41">
        <v>3</v>
      </c>
      <c r="E29" s="1" t="s">
        <v>503</v>
      </c>
      <c r="F29" s="94" t="s">
        <v>525</v>
      </c>
      <c r="G29" s="1" t="s">
        <v>529</v>
      </c>
      <c r="H29" s="41"/>
      <c r="J29" s="134"/>
      <c r="L29" s="41"/>
      <c r="M29" s="226" t="s">
        <v>530</v>
      </c>
      <c r="N29" s="226"/>
      <c r="O29" s="226"/>
      <c r="P29" s="226"/>
      <c r="Q29" s="227"/>
      <c r="R29" s="226" t="s">
        <v>506</v>
      </c>
      <c r="S29" s="226"/>
      <c r="T29" s="226" t="s">
        <v>506</v>
      </c>
      <c r="U29" s="226"/>
      <c r="V29" s="227"/>
      <c r="W29" s="232"/>
      <c r="X29" s="232"/>
      <c r="Y29" s="232"/>
      <c r="Z29" s="232"/>
      <c r="AA29" s="232"/>
      <c r="AB29" s="232"/>
      <c r="AC29" s="232"/>
      <c r="AD29" s="232"/>
      <c r="AE29" s="232"/>
      <c r="AF29" s="232"/>
      <c r="AG29" s="232"/>
      <c r="AH29" s="232"/>
      <c r="AI29" s="232"/>
      <c r="AJ29" s="232"/>
      <c r="AK29" s="232"/>
      <c r="AL29" s="232"/>
      <c r="AM29" s="232"/>
      <c r="AN29" s="232"/>
      <c r="AO29" s="232"/>
      <c r="AP29" s="232"/>
      <c r="AQ29" s="232"/>
      <c r="AR29" s="232"/>
      <c r="AS29" s="232"/>
      <c r="AT29" s="232"/>
      <c r="AU29" s="232"/>
      <c r="AV29" s="232"/>
      <c r="AW29" s="232"/>
      <c r="AX29" s="232"/>
      <c r="AY29" s="232"/>
      <c r="AZ29" s="232"/>
      <c r="BA29" s="232"/>
      <c r="BB29" s="232"/>
      <c r="BC29" s="232"/>
      <c r="BD29" s="232"/>
      <c r="BE29" s="232"/>
      <c r="BF29" s="232"/>
      <c r="BG29" s="232"/>
      <c r="BH29" s="232"/>
      <c r="BI29" s="232"/>
      <c r="BJ29" s="232"/>
      <c r="BK29" s="232"/>
      <c r="BL29" s="232"/>
      <c r="BM29" s="232"/>
      <c r="BN29" s="232"/>
      <c r="BO29" s="232"/>
      <c r="BP29" s="232"/>
      <c r="BQ29" s="232"/>
      <c r="BR29" s="232"/>
      <c r="BS29" s="232"/>
      <c r="BT29" s="232"/>
      <c r="BU29" s="232"/>
      <c r="BV29" s="232"/>
      <c r="BW29" s="232"/>
      <c r="BX29" s="232"/>
      <c r="BY29" s="232"/>
      <c r="BZ29" s="232"/>
      <c r="CA29" s="232"/>
      <c r="CB29" s="232"/>
      <c r="CC29" s="232"/>
      <c r="CD29" s="232"/>
      <c r="CE29" s="232"/>
      <c r="CF29" s="232"/>
      <c r="CG29" s="232"/>
      <c r="CH29" s="232"/>
      <c r="CI29" s="232"/>
      <c r="CJ29" s="232"/>
      <c r="CK29" s="232"/>
      <c r="CL29" s="232"/>
      <c r="CM29" s="232"/>
      <c r="CN29" s="232"/>
      <c r="CO29" s="232"/>
      <c r="CP29" s="232"/>
      <c r="CQ29" s="232"/>
      <c r="CR29" s="232"/>
      <c r="CS29" s="232"/>
      <c r="CT29" s="232"/>
      <c r="CU29" s="232"/>
      <c r="CV29" s="232"/>
      <c r="CW29" s="232"/>
      <c r="CX29" s="232"/>
      <c r="CY29" s="232"/>
      <c r="CZ29" s="232"/>
      <c r="DA29" s="232"/>
      <c r="DB29" s="232"/>
      <c r="DC29" s="232"/>
      <c r="DD29" s="232"/>
      <c r="DE29" s="232"/>
      <c r="DF29" s="232"/>
      <c r="DG29" s="232"/>
      <c r="DH29" s="232"/>
      <c r="DI29" s="232"/>
      <c r="DJ29" s="232"/>
      <c r="DK29" s="232"/>
      <c r="DL29" s="232"/>
      <c r="DM29" s="232"/>
      <c r="DN29" s="232"/>
      <c r="DO29" s="232"/>
      <c r="DP29" s="232"/>
      <c r="DQ29" s="232"/>
      <c r="DR29" s="232"/>
      <c r="DS29" s="232"/>
      <c r="DT29" s="232"/>
      <c r="DU29" s="232"/>
      <c r="DV29" s="232"/>
    </row>
    <row r="30" spans="1:126">
      <c r="A30" s="42"/>
      <c r="D30" s="43"/>
      <c r="H30" s="43"/>
      <c r="I30" t="s">
        <v>123</v>
      </c>
      <c r="J30" t="s">
        <v>124</v>
      </c>
      <c r="K30">
        <v>2</v>
      </c>
      <c r="L30" s="43" t="s">
        <v>11</v>
      </c>
      <c r="M30" s="4" t="s">
        <v>45</v>
      </c>
      <c r="N30" s="4"/>
      <c r="O30" s="4"/>
      <c r="P30" s="4"/>
      <c r="Q30" s="228"/>
      <c r="R30" s="4" t="s">
        <v>45</v>
      </c>
      <c r="S30" s="4"/>
      <c r="T30" s="4"/>
      <c r="U30" s="4"/>
      <c r="V30" s="228"/>
    </row>
    <row r="31" spans="1:126">
      <c r="A31" s="42"/>
      <c r="D31" s="43"/>
      <c r="H31" s="43"/>
      <c r="I31" t="s">
        <v>125</v>
      </c>
      <c r="J31" t="s">
        <v>126</v>
      </c>
      <c r="K31">
        <v>2</v>
      </c>
      <c r="L31" s="43" t="s">
        <v>11</v>
      </c>
      <c r="M31" s="4" t="s">
        <v>45</v>
      </c>
      <c r="N31" s="4"/>
      <c r="O31" s="4"/>
      <c r="P31" s="4"/>
      <c r="Q31" s="228"/>
      <c r="R31" s="4" t="s">
        <v>45</v>
      </c>
      <c r="S31" s="4"/>
      <c r="T31" s="4"/>
      <c r="U31" s="4"/>
      <c r="V31" s="228"/>
    </row>
    <row r="32" spans="1:126">
      <c r="A32" s="42"/>
      <c r="D32" s="43"/>
      <c r="H32" s="43"/>
      <c r="I32" t="s">
        <v>127</v>
      </c>
      <c r="J32" t="s">
        <v>128</v>
      </c>
      <c r="K32">
        <v>3</v>
      </c>
      <c r="L32" s="43" t="s">
        <v>11</v>
      </c>
      <c r="M32" s="4" t="s">
        <v>45</v>
      </c>
      <c r="N32" s="4"/>
      <c r="O32" s="4"/>
      <c r="P32" s="4"/>
      <c r="Q32" s="228"/>
      <c r="R32" s="4" t="s">
        <v>45</v>
      </c>
      <c r="S32" s="4"/>
      <c r="T32" s="4" t="s">
        <v>45</v>
      </c>
      <c r="U32" s="4"/>
      <c r="V32" s="228"/>
    </row>
    <row r="33" spans="1:126">
      <c r="A33" s="42"/>
      <c r="D33" s="43"/>
      <c r="H33" s="43"/>
      <c r="I33" t="s">
        <v>129</v>
      </c>
      <c r="J33" t="s">
        <v>130</v>
      </c>
      <c r="K33">
        <v>3</v>
      </c>
      <c r="L33" s="43" t="s">
        <v>11</v>
      </c>
      <c r="M33" s="4" t="s">
        <v>45</v>
      </c>
      <c r="N33" s="4"/>
      <c r="O33" s="4"/>
      <c r="P33" s="4"/>
      <c r="Q33" s="228"/>
      <c r="R33" s="4" t="s">
        <v>45</v>
      </c>
      <c r="S33" s="4"/>
      <c r="T33" s="4" t="s">
        <v>45</v>
      </c>
      <c r="U33" s="4"/>
      <c r="V33" s="228"/>
    </row>
    <row r="34" spans="1:126">
      <c r="A34" s="42"/>
      <c r="D34" s="43"/>
      <c r="H34" s="43"/>
      <c r="I34" t="s">
        <v>131</v>
      </c>
      <c r="J34" t="s">
        <v>132</v>
      </c>
      <c r="K34">
        <v>3</v>
      </c>
      <c r="L34" s="43" t="s">
        <v>11</v>
      </c>
      <c r="M34" s="4" t="s">
        <v>45</v>
      </c>
      <c r="N34" s="4"/>
      <c r="O34" s="4"/>
      <c r="P34" s="4"/>
      <c r="Q34" s="228"/>
      <c r="R34" s="4" t="s">
        <v>45</v>
      </c>
      <c r="S34" s="4"/>
      <c r="T34" s="4" t="s">
        <v>45</v>
      </c>
      <c r="U34" s="4"/>
      <c r="V34" s="228"/>
    </row>
    <row r="35" spans="1:126">
      <c r="A35" s="42"/>
      <c r="D35" s="43"/>
      <c r="H35" s="43"/>
      <c r="I35" t="s">
        <v>133</v>
      </c>
      <c r="J35" t="s">
        <v>134</v>
      </c>
      <c r="K35">
        <v>3</v>
      </c>
      <c r="L35" s="43" t="s">
        <v>11</v>
      </c>
      <c r="M35" s="4" t="s">
        <v>45</v>
      </c>
      <c r="N35" s="4"/>
      <c r="O35" s="4"/>
      <c r="P35" s="4"/>
      <c r="Q35" s="228"/>
      <c r="R35" s="4" t="s">
        <v>45</v>
      </c>
      <c r="S35" s="4"/>
      <c r="T35" s="4"/>
      <c r="U35" s="4"/>
      <c r="V35" s="228"/>
    </row>
    <row r="36" spans="1:126" s="1" customFormat="1" ht="15" customHeight="1">
      <c r="A36" s="40">
        <v>2</v>
      </c>
      <c r="B36" s="1" t="s">
        <v>531</v>
      </c>
      <c r="C36" s="1" t="s">
        <v>532</v>
      </c>
      <c r="D36" s="41">
        <v>3</v>
      </c>
      <c r="E36" s="1" t="s">
        <v>503</v>
      </c>
      <c r="F36" s="94" t="s">
        <v>504</v>
      </c>
      <c r="G36" s="1" t="s">
        <v>510</v>
      </c>
      <c r="H36" s="41" t="s">
        <v>533</v>
      </c>
      <c r="J36" s="134"/>
      <c r="L36" s="41"/>
      <c r="M36" s="226"/>
      <c r="N36" s="226"/>
      <c r="O36" s="226"/>
      <c r="P36" s="226"/>
      <c r="Q36" s="227" t="s">
        <v>506</v>
      </c>
      <c r="R36" s="226"/>
      <c r="S36" s="226"/>
      <c r="T36" s="226" t="s">
        <v>506</v>
      </c>
      <c r="U36" s="226"/>
      <c r="V36" s="227" t="s">
        <v>506</v>
      </c>
      <c r="W36" s="232"/>
      <c r="X36" s="232"/>
      <c r="Y36" s="232"/>
      <c r="Z36" s="232"/>
      <c r="AA36" s="232"/>
      <c r="AB36" s="232"/>
      <c r="AC36" s="232"/>
      <c r="AD36" s="232"/>
      <c r="AE36" s="232"/>
      <c r="AF36" s="232"/>
      <c r="AG36" s="232"/>
      <c r="AH36" s="232"/>
      <c r="AI36" s="232"/>
      <c r="AJ36" s="232"/>
      <c r="AK36" s="232"/>
      <c r="AL36" s="232"/>
      <c r="AM36" s="232"/>
      <c r="AN36" s="232"/>
      <c r="AO36" s="232"/>
      <c r="AP36" s="232"/>
      <c r="AQ36" s="232"/>
      <c r="AR36" s="232"/>
      <c r="AS36" s="232"/>
      <c r="AT36" s="232"/>
      <c r="AU36" s="232"/>
      <c r="AV36" s="232"/>
      <c r="AW36" s="232"/>
      <c r="AX36" s="232"/>
      <c r="AY36" s="232"/>
      <c r="AZ36" s="232"/>
      <c r="BA36" s="232"/>
      <c r="BB36" s="232"/>
      <c r="BC36" s="232"/>
      <c r="BD36" s="232"/>
      <c r="BE36" s="232"/>
      <c r="BF36" s="232"/>
      <c r="BG36" s="232"/>
      <c r="BH36" s="232"/>
      <c r="BI36" s="232"/>
      <c r="BJ36" s="232"/>
      <c r="BK36" s="232"/>
      <c r="BL36" s="232"/>
      <c r="BM36" s="232"/>
      <c r="BN36" s="232"/>
      <c r="BO36" s="232"/>
      <c r="BP36" s="232"/>
      <c r="BQ36" s="232"/>
      <c r="BR36" s="232"/>
      <c r="BS36" s="232"/>
      <c r="BT36" s="232"/>
      <c r="BU36" s="232"/>
      <c r="BV36" s="232"/>
      <c r="BW36" s="232"/>
      <c r="BX36" s="232"/>
      <c r="BY36" s="232"/>
      <c r="BZ36" s="232"/>
      <c r="CA36" s="232"/>
      <c r="CB36" s="232"/>
      <c r="CC36" s="232"/>
      <c r="CD36" s="232"/>
      <c r="CE36" s="232"/>
      <c r="CF36" s="232"/>
      <c r="CG36" s="232"/>
      <c r="CH36" s="232"/>
      <c r="CI36" s="232"/>
      <c r="CJ36" s="232"/>
      <c r="CK36" s="232"/>
      <c r="CL36" s="232"/>
      <c r="CM36" s="232"/>
      <c r="CN36" s="232"/>
      <c r="CO36" s="232"/>
      <c r="CP36" s="232"/>
      <c r="CQ36" s="232"/>
      <c r="CR36" s="232"/>
      <c r="CS36" s="232"/>
      <c r="CT36" s="232"/>
      <c r="CU36" s="232"/>
      <c r="CV36" s="232"/>
      <c r="CW36" s="232"/>
      <c r="CX36" s="232"/>
      <c r="CY36" s="232"/>
      <c r="CZ36" s="232"/>
      <c r="DA36" s="232"/>
      <c r="DB36" s="232"/>
      <c r="DC36" s="232"/>
      <c r="DD36" s="232"/>
      <c r="DE36" s="232"/>
      <c r="DF36" s="232"/>
      <c r="DG36" s="232"/>
      <c r="DH36" s="232"/>
      <c r="DI36" s="232"/>
      <c r="DJ36" s="232"/>
      <c r="DK36" s="232"/>
      <c r="DL36" s="232"/>
      <c r="DM36" s="232"/>
      <c r="DN36" s="232"/>
      <c r="DO36" s="232"/>
      <c r="DP36" s="232"/>
      <c r="DQ36" s="232"/>
      <c r="DR36" s="232"/>
      <c r="DS36" s="232"/>
      <c r="DT36" s="232"/>
      <c r="DU36" s="232"/>
      <c r="DV36" s="232"/>
    </row>
    <row r="37" spans="1:126" ht="30.75">
      <c r="A37" s="42"/>
      <c r="D37" s="43"/>
      <c r="H37" s="43"/>
      <c r="I37" t="s">
        <v>534</v>
      </c>
      <c r="J37" s="2" t="s">
        <v>535</v>
      </c>
      <c r="K37">
        <v>2</v>
      </c>
      <c r="L37" s="43" t="s">
        <v>93</v>
      </c>
      <c r="M37" s="4"/>
      <c r="N37" s="4"/>
      <c r="O37" s="4"/>
      <c r="P37" s="4"/>
      <c r="Q37" s="228" t="s">
        <v>45</v>
      </c>
      <c r="R37" s="4"/>
      <c r="S37" s="4"/>
      <c r="T37" s="4" t="s">
        <v>45</v>
      </c>
      <c r="U37" s="4"/>
      <c r="V37" s="228" t="s">
        <v>45</v>
      </c>
    </row>
    <row r="38" spans="1:126" ht="30.75">
      <c r="A38" s="42"/>
      <c r="D38" s="43"/>
      <c r="H38" s="43"/>
      <c r="I38" t="s">
        <v>536</v>
      </c>
      <c r="J38" s="2" t="s">
        <v>537</v>
      </c>
      <c r="K38">
        <v>1</v>
      </c>
      <c r="L38" s="43" t="s">
        <v>93</v>
      </c>
      <c r="M38" s="4"/>
      <c r="N38" s="4"/>
      <c r="O38" s="4"/>
      <c r="P38" s="4"/>
      <c r="Q38" s="228" t="s">
        <v>45</v>
      </c>
      <c r="R38" s="4"/>
      <c r="S38" s="4"/>
      <c r="T38" s="4" t="s">
        <v>45</v>
      </c>
      <c r="U38" s="4"/>
      <c r="V38" s="228" t="s">
        <v>45</v>
      </c>
    </row>
    <row r="39" spans="1:126" ht="45.75">
      <c r="A39" s="42"/>
      <c r="D39" s="43"/>
      <c r="H39" s="43"/>
      <c r="I39" t="s">
        <v>538</v>
      </c>
      <c r="J39" s="2" t="s">
        <v>539</v>
      </c>
      <c r="K39">
        <v>2</v>
      </c>
      <c r="L39" s="43" t="s">
        <v>93</v>
      </c>
      <c r="M39" s="4"/>
      <c r="N39" s="4"/>
      <c r="O39" s="4"/>
      <c r="P39" s="4"/>
      <c r="Q39" s="228"/>
      <c r="R39" s="4"/>
      <c r="S39" s="4"/>
      <c r="T39" s="4"/>
      <c r="U39" s="4"/>
      <c r="V39" s="228"/>
    </row>
    <row r="40" spans="1:126" ht="30.75">
      <c r="A40" s="42"/>
      <c r="D40" s="43"/>
      <c r="H40" s="43"/>
      <c r="I40" t="s">
        <v>540</v>
      </c>
      <c r="J40" s="2" t="s">
        <v>541</v>
      </c>
      <c r="K40">
        <v>2</v>
      </c>
      <c r="L40" s="43" t="s">
        <v>93</v>
      </c>
      <c r="M40" s="4"/>
      <c r="N40" s="4"/>
      <c r="O40" s="4"/>
      <c r="P40" s="4"/>
      <c r="Q40" s="228"/>
      <c r="R40" s="4"/>
      <c r="S40" s="4"/>
      <c r="T40" s="4"/>
      <c r="U40" s="4"/>
      <c r="V40" s="228"/>
    </row>
    <row r="41" spans="1:126" ht="15" customHeight="1">
      <c r="C41" t="s">
        <v>542</v>
      </c>
      <c r="D41">
        <f>SUM(D1:D40)</f>
        <v>21</v>
      </c>
    </row>
    <row r="206" spans="1:17" ht="15" customHeight="1">
      <c r="A206" t="s">
        <v>542</v>
      </c>
      <c r="M206" s="7">
        <f>COUNTIF(M4:M40,"X")</f>
        <v>14</v>
      </c>
      <c r="N206" s="7">
        <f>COUNTIF(N4:N40,"X")</f>
        <v>0</v>
      </c>
      <c r="O206" s="7">
        <f>COUNTIF(O4:O40,"X")</f>
        <v>4</v>
      </c>
      <c r="P206" s="7"/>
      <c r="Q206" s="7">
        <f>COUNTIF(Q4:Q40,"X")</f>
        <v>8</v>
      </c>
    </row>
    <row r="207" spans="1:17" ht="15" customHeight="1">
      <c r="E207" t="s">
        <v>543</v>
      </c>
    </row>
    <row r="208" spans="1:17">
      <c r="E208" t="s">
        <v>485</v>
      </c>
      <c r="F208" t="s">
        <v>486</v>
      </c>
      <c r="G208" t="s">
        <v>487</v>
      </c>
      <c r="H208" t="s">
        <v>488</v>
      </c>
    </row>
    <row r="209" spans="5:8"/>
    <row r="210" spans="5:8" ht="15" customHeight="1">
      <c r="E210" s="97" t="s">
        <v>544</v>
      </c>
      <c r="F210" s="100" t="s">
        <v>525</v>
      </c>
      <c r="G210" t="s">
        <v>545</v>
      </c>
      <c r="H210" t="s">
        <v>546</v>
      </c>
    </row>
    <row r="211" spans="5:8" ht="15" customHeight="1">
      <c r="E211" s="98" t="s">
        <v>509</v>
      </c>
      <c r="F211" s="101" t="s">
        <v>547</v>
      </c>
      <c r="G211" t="s">
        <v>548</v>
      </c>
      <c r="H211" s="113" t="s">
        <v>549</v>
      </c>
    </row>
    <row r="212" spans="5:8" ht="15" customHeight="1">
      <c r="E212" s="99" t="s">
        <v>550</v>
      </c>
      <c r="F212" s="102" t="s">
        <v>551</v>
      </c>
      <c r="G212" t="s">
        <v>552</v>
      </c>
      <c r="H212" s="114" t="s">
        <v>553</v>
      </c>
    </row>
    <row r="213" spans="5:8" ht="15" customHeight="1">
      <c r="F213" s="104" t="s">
        <v>504</v>
      </c>
      <c r="G213" t="s">
        <v>529</v>
      </c>
    </row>
    <row r="214" spans="5:8" ht="15" customHeight="1">
      <c r="F214" s="103" t="s">
        <v>554</v>
      </c>
      <c r="G214" t="s">
        <v>526</v>
      </c>
    </row>
    <row r="215" spans="5:8" ht="15" customHeight="1">
      <c r="F215" s="115" t="s">
        <v>555</v>
      </c>
      <c r="G215" t="s">
        <v>556</v>
      </c>
    </row>
    <row r="216" spans="5:8" ht="15" customHeight="1">
      <c r="G216" t="s">
        <v>557</v>
      </c>
    </row>
    <row r="217" spans="5:8" ht="15" customHeight="1">
      <c r="G217" t="s">
        <v>558</v>
      </c>
    </row>
    <row r="218" spans="5:8" ht="15" customHeight="1">
      <c r="G218" t="s">
        <v>510</v>
      </c>
    </row>
    <row r="219" spans="5:8" ht="15" customHeight="1">
      <c r="G219" t="s">
        <v>505</v>
      </c>
    </row>
    <row r="220" spans="5:8" ht="15" customHeight="1">
      <c r="G220" t="s">
        <v>559</v>
      </c>
    </row>
    <row r="221" spans="5:8" ht="15" customHeight="1">
      <c r="G221" t="s">
        <v>560</v>
      </c>
    </row>
  </sheetData>
  <mergeCells count="20">
    <mergeCell ref="D2:D3"/>
    <mergeCell ref="A1:D1"/>
    <mergeCell ref="M2:Q2"/>
    <mergeCell ref="L25:L28"/>
    <mergeCell ref="A2:A3"/>
    <mergeCell ref="B2:B3"/>
    <mergeCell ref="C2:C3"/>
    <mergeCell ref="I2:I3"/>
    <mergeCell ref="R1:V1"/>
    <mergeCell ref="E2:E3"/>
    <mergeCell ref="F2:F3"/>
    <mergeCell ref="M1:Q1"/>
    <mergeCell ref="R2:V2"/>
    <mergeCell ref="J2:J3"/>
    <mergeCell ref="K2:K3"/>
    <mergeCell ref="H2:H3"/>
    <mergeCell ref="G2:G3"/>
    <mergeCell ref="L2:L3"/>
    <mergeCell ref="E1:H1"/>
    <mergeCell ref="I1:L1"/>
  </mergeCells>
  <conditionalFormatting sqref="F24 E210:E1048576 E1:E208">
    <cfRule type="containsText" dxfId="19" priority="27" operator="containsText" text="Redesign">
      <formula>NOT(ISERROR(SEARCH("Redesign",E1)))</formula>
    </cfRule>
    <cfRule type="containsText" dxfId="18" priority="28" operator="containsText" text="New">
      <formula>NOT(ISERROR(SEARCH("New",E1)))</formula>
    </cfRule>
  </conditionalFormatting>
  <conditionalFormatting sqref="F210:F1048576 F1:F208">
    <cfRule type="containsText" dxfId="17" priority="21" operator="containsText" text="WSE">
      <formula>NOT(ISERROR(SEARCH("WSE",F1)))</formula>
    </cfRule>
    <cfRule type="containsText" dxfId="16" priority="22" operator="containsText" text="WSB">
      <formula>NOT(ISERROR(SEARCH("WSB",F1)))</formula>
    </cfRule>
    <cfRule type="containsText" dxfId="15" priority="23" operator="containsText" text="WST">
      <formula>NOT(ISERROR(SEARCH("WST",F1)))</formula>
    </cfRule>
    <cfRule type="containsText" dxfId="14" priority="24" operator="containsText" text="LSH">
      <formula>NOT(ISERROR(SEARCH("LSH",F1)))</formula>
    </cfRule>
    <cfRule type="containsText" dxfId="13" priority="25" operator="containsText" text="Gen Ed">
      <formula>NOT(ISERROR(SEARCH("Gen Ed",F1)))</formula>
    </cfRule>
  </conditionalFormatting>
  <conditionalFormatting sqref="F24 E210:E1048576 E1:E208">
    <cfRule type="containsText" dxfId="12" priority="26" operator="containsText" text="Existing">
      <formula>NOT(ISERROR(SEARCH("Existing",E1)))</formula>
    </cfRule>
  </conditionalFormatting>
  <conditionalFormatting sqref="G210:G1048576 G1:G208">
    <cfRule type="containsText" dxfId="11" priority="1" operator="containsText" text="Concentration">
      <formula>NOT(ISERROR(SEARCH("Concentration",G1)))</formula>
    </cfRule>
    <cfRule type="containsText" dxfId="10" priority="2" operator="containsText" text="Specialization">
      <formula>NOT(ISERROR(SEARCH("Specialization",G1)))</formula>
    </cfRule>
    <cfRule type="containsText" dxfId="9" priority="3" operator="containsText" text="Core">
      <formula>NOT(ISERROR(SEARCH("Core",G1)))</formula>
    </cfRule>
    <cfRule type="containsText" dxfId="8" priority="4" operator="containsText" text="Major">
      <formula>NOT(ISERROR(SEARCH("Major",G1)))</formula>
    </cfRule>
    <cfRule type="containsText" dxfId="7" priority="5" operator="containsText" text="GE - Additional CU - Any Domain">
      <formula>NOT(ISERROR(SEARCH("GE - Additional CU - Any Domain",G1)))</formula>
    </cfRule>
    <cfRule type="containsText" dxfId="6" priority="6" operator="containsText" text="GE - H&amp;SS - Hmn Cmmnty">
      <formula>NOT(ISERROR(SEARCH("GE - H&amp;SS - Hmn Cmmnty",G1)))</formula>
    </cfRule>
    <cfRule type="containsText" dxfId="5" priority="7" operator="containsText" text="GE - H&amp;SS - Amr Inst &amp; Glbl Per">
      <formula>NOT(ISERROR(SEARCH("GE - H&amp;SS - Amr Inst &amp; Glbl Per",G1)))</formula>
    </cfRule>
    <cfRule type="containsText" dxfId="4" priority="8" operator="containsText" text="GE - M&amp;P - ProbSolv">
      <formula>NOT(ISERROR(SEARCH("GE - M&amp;P - ProbSolv",G1)))</formula>
    </cfRule>
    <cfRule type="containsText" dxfId="3" priority="9" operator="containsText" text="GE - M&amp;P - QuantStat">
      <formula>NOT(ISERROR(SEARCH("GE - M&amp;P - QuantStat",G1)))</formula>
    </cfRule>
    <cfRule type="containsText" dxfId="2" priority="10" operator="containsText" text="GE - S - Science">
      <formula>NOT(ISERROR(SEARCH("GE - S - Science",G1)))</formula>
    </cfRule>
    <cfRule type="containsText" dxfId="1" priority="11" operator="containsText" text="GE- C&amp;C - Comp">
      <formula>NOT(ISERROR(SEARCH("GE- C&amp;C - Comp",G1)))</formula>
    </cfRule>
    <cfRule type="containsText" dxfId="0" priority="12" operator="containsText" text="GE - C&amp;C - Comm">
      <formula>NOT(ISERROR(SEARCH("GE - C&amp;C - Comm",G1)))</formula>
    </cfRule>
  </conditionalFormatting>
  <dataValidations count="1">
    <dataValidation allowBlank="1" showInputMessage="1" showErrorMessage="1" sqref="E5:F5 E16:E18 E30:E35 E37:E40 E20:E28 E6:E14" xr:uid="{548F9947-B5A2-42AA-8542-93C769BC0434}"/>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4">
        <x14:dataValidation type="list" allowBlank="1" showInputMessage="1" showErrorMessage="1" xr:uid="{FEE6117C-25A8-4862-BBDC-DF0C096C2F09}">
          <x14:formula1>
            <xm:f>Menus!$B$2:$B$6</xm:f>
          </x14:formula1>
          <xm:sqref>F15 F29 F19 F11 F36</xm:sqref>
        </x14:dataValidation>
        <x14:dataValidation type="list" allowBlank="1" showInputMessage="1" showErrorMessage="1" xr:uid="{E66AB480-EEA9-4515-9142-1BE52F57F315}">
          <x14:formula1>
            <xm:f>Menus!$A$2:$A$4</xm:f>
          </x14:formula1>
          <xm:sqref>E4 E15 E11 E19 E24 E29 E36</xm:sqref>
        </x14:dataValidation>
        <x14:dataValidation type="list" allowBlank="1" showInputMessage="1" showErrorMessage="1" xr:uid="{0ACCC398-1D5F-4FE9-B30D-A6ECA3934226}">
          <x14:formula1>
            <xm:f>Menus!$C$2:$C$13</xm:f>
          </x14:formula1>
          <xm:sqref>G4 G24 G15 G29 G19 G11 G36</xm:sqref>
        </x14:dataValidation>
        <x14:dataValidation type="list" allowBlank="1" showInputMessage="1" showErrorMessage="1" xr:uid="{37C6ABAB-A0FA-41E3-AB36-E9F14DF2C810}">
          <x14:formula1>
            <xm:f>Menus!$B$2:$B$7</xm:f>
          </x14:formula1>
          <xm:sqref>F4 F24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996AF-A8BE-40F0-A779-21FE01E522CA}">
  <dimension ref="A1:L55"/>
  <sheetViews>
    <sheetView workbookViewId="0"/>
    <sheetView workbookViewId="1"/>
  </sheetViews>
  <sheetFormatPr defaultColWidth="8.85546875" defaultRowHeight="14.45"/>
  <cols>
    <col min="1" max="1" width="145.140625" customWidth="1"/>
    <col min="2" max="2" width="9.140625"/>
    <col min="3" max="3" width="13.42578125" customWidth="1"/>
    <col min="4" max="4" width="15.5703125" customWidth="1"/>
  </cols>
  <sheetData>
    <row r="1" spans="1:12">
      <c r="A1" s="105" t="s">
        <v>561</v>
      </c>
      <c r="C1" s="3" t="s">
        <v>562</v>
      </c>
    </row>
    <row r="2" spans="1:12" ht="29.1">
      <c r="A2" s="2" t="s">
        <v>563</v>
      </c>
      <c r="C2" t="s">
        <v>564</v>
      </c>
    </row>
    <row r="3" spans="1:12">
      <c r="A3" s="2"/>
    </row>
    <row r="4" spans="1:12">
      <c r="A4" s="105" t="s">
        <v>565</v>
      </c>
      <c r="D4" s="106" t="s">
        <v>566</v>
      </c>
      <c r="E4" s="106"/>
      <c r="F4" s="106"/>
      <c r="G4" s="106"/>
      <c r="H4" s="106"/>
      <c r="I4" s="106"/>
      <c r="J4" s="106"/>
      <c r="K4" s="106"/>
      <c r="L4" s="106"/>
    </row>
    <row r="5" spans="1:12">
      <c r="A5" s="105" t="s">
        <v>567</v>
      </c>
      <c r="D5" s="107"/>
      <c r="E5" s="108" t="s">
        <v>568</v>
      </c>
      <c r="F5" s="108" t="s">
        <v>569</v>
      </c>
      <c r="G5" s="108" t="s">
        <v>570</v>
      </c>
      <c r="H5" s="108" t="s">
        <v>571</v>
      </c>
      <c r="I5" s="108" t="s">
        <v>572</v>
      </c>
      <c r="J5" s="108" t="s">
        <v>573</v>
      </c>
      <c r="K5" s="108" t="s">
        <v>574</v>
      </c>
      <c r="L5" s="108" t="s">
        <v>575</v>
      </c>
    </row>
    <row r="6" spans="1:12">
      <c r="A6" t="s">
        <v>576</v>
      </c>
      <c r="D6" s="108" t="s">
        <v>577</v>
      </c>
      <c r="E6" s="107"/>
      <c r="F6" s="107"/>
      <c r="G6" s="107"/>
      <c r="H6" s="107"/>
      <c r="I6" s="107"/>
      <c r="J6" s="107"/>
      <c r="K6" s="107"/>
      <c r="L6" s="107">
        <f>SUM(E6:K6)</f>
        <v>0</v>
      </c>
    </row>
    <row r="7" spans="1:12">
      <c r="A7" t="s">
        <v>578</v>
      </c>
    </row>
    <row r="10" spans="1:12">
      <c r="A10" s="105" t="s">
        <v>478</v>
      </c>
      <c r="C10" s="3" t="s">
        <v>579</v>
      </c>
    </row>
    <row r="11" spans="1:12">
      <c r="A11" t="s">
        <v>580</v>
      </c>
      <c r="C11" s="116" t="s">
        <v>581</v>
      </c>
    </row>
    <row r="12" spans="1:12">
      <c r="A12" t="s">
        <v>582</v>
      </c>
    </row>
    <row r="13" spans="1:12" ht="29.1">
      <c r="A13" s="2" t="s">
        <v>583</v>
      </c>
    </row>
    <row r="14" spans="1:12">
      <c r="A14" s="2"/>
    </row>
    <row r="15" spans="1:12">
      <c r="A15" s="109" t="s">
        <v>584</v>
      </c>
    </row>
    <row r="16" spans="1:12">
      <c r="A16" s="110" t="s">
        <v>585</v>
      </c>
    </row>
    <row r="17" spans="1:1">
      <c r="A17" s="109"/>
    </row>
    <row r="18" spans="1:1">
      <c r="A18" s="2"/>
    </row>
    <row r="19" spans="1:1">
      <c r="A19" s="2"/>
    </row>
    <row r="20" spans="1:1">
      <c r="A20" s="105" t="s">
        <v>586</v>
      </c>
    </row>
    <row r="21" spans="1:1">
      <c r="A21" s="105" t="s">
        <v>587</v>
      </c>
    </row>
    <row r="22" spans="1:1">
      <c r="A22" s="2" t="s">
        <v>588</v>
      </c>
    </row>
    <row r="23" spans="1:1">
      <c r="A23" s="2" t="s">
        <v>589</v>
      </c>
    </row>
    <row r="24" spans="1:1">
      <c r="A24" s="2" t="s">
        <v>590</v>
      </c>
    </row>
    <row r="25" spans="1:1" ht="43.5">
      <c r="A25" s="2" t="s">
        <v>591</v>
      </c>
    </row>
    <row r="26" spans="1:1">
      <c r="A26" s="2" t="s">
        <v>592</v>
      </c>
    </row>
    <row r="27" spans="1:1">
      <c r="A27" s="2"/>
    </row>
    <row r="28" spans="1:1">
      <c r="A28" s="105" t="s">
        <v>593</v>
      </c>
    </row>
    <row r="29" spans="1:1" ht="29.1">
      <c r="A29" s="2" t="s">
        <v>594</v>
      </c>
    </row>
    <row r="30" spans="1:1">
      <c r="A30" s="2" t="s">
        <v>595</v>
      </c>
    </row>
    <row r="31" spans="1:1">
      <c r="A31" s="111" t="s">
        <v>596</v>
      </c>
    </row>
    <row r="33" spans="1:1">
      <c r="A33" s="112" t="s">
        <v>597</v>
      </c>
    </row>
    <row r="34" spans="1:1">
      <c r="A34" s="2" t="s">
        <v>598</v>
      </c>
    </row>
    <row r="35" spans="1:1">
      <c r="A35" s="2" t="s">
        <v>599</v>
      </c>
    </row>
    <row r="36" spans="1:1">
      <c r="A36" s="2" t="s">
        <v>600</v>
      </c>
    </row>
    <row r="37" spans="1:1">
      <c r="A37" s="2" t="s">
        <v>592</v>
      </c>
    </row>
    <row r="38" spans="1:1">
      <c r="A38" t="s">
        <v>601</v>
      </c>
    </row>
    <row r="42" spans="1:1">
      <c r="A42" s="2"/>
    </row>
    <row r="43" spans="1:1">
      <c r="A43" s="2"/>
    </row>
    <row r="44" spans="1:1">
      <c r="A44" s="2"/>
    </row>
    <row r="46" spans="1:1">
      <c r="A46" s="105"/>
    </row>
    <row r="47" spans="1:1">
      <c r="A47" s="2"/>
    </row>
    <row r="48" spans="1:1">
      <c r="A48" s="2"/>
    </row>
    <row r="49" spans="1:1">
      <c r="A49" s="2"/>
    </row>
    <row r="50" spans="1:1">
      <c r="A50" s="105"/>
    </row>
    <row r="51" spans="1:1">
      <c r="A51" s="2"/>
    </row>
    <row r="52" spans="1:1">
      <c r="A52" s="2"/>
    </row>
    <row r="53" spans="1:1">
      <c r="A53" s="2"/>
    </row>
    <row r="54" spans="1:1">
      <c r="A54" s="105"/>
    </row>
    <row r="55" spans="1:1">
      <c r="A55" s="2"/>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0C74A-7AEE-4A2E-9CAC-652BAC28A081}">
  <dimension ref="A1:AU54"/>
  <sheetViews>
    <sheetView workbookViewId="0">
      <selection activeCell="F40" sqref="F40"/>
    </sheetView>
    <sheetView workbookViewId="1">
      <selection activeCell="K10" sqref="K10:R10"/>
    </sheetView>
  </sheetViews>
  <sheetFormatPr defaultColWidth="9.140625" defaultRowHeight="14.45"/>
  <cols>
    <col min="1" max="1" width="5.28515625" style="14" bestFit="1" customWidth="1"/>
    <col min="2" max="2" width="16.140625" style="14" customWidth="1"/>
    <col min="3" max="3" width="11.5703125" style="6" bestFit="1" customWidth="1"/>
    <col min="4" max="4" width="35.28515625" style="6" bestFit="1" customWidth="1"/>
    <col min="5" max="5" width="4.5703125" style="13" customWidth="1"/>
    <col min="6" max="6" width="33.5703125" style="13" customWidth="1"/>
    <col min="7" max="7" width="62.85546875" style="11" customWidth="1"/>
    <col min="8" max="8" width="12.85546875" style="13" customWidth="1"/>
    <col min="9" max="9" width="15.42578125" style="13" customWidth="1"/>
    <col min="10" max="10" width="16.5703125" style="13" customWidth="1"/>
    <col min="11" max="11" width="16.28515625" style="13" customWidth="1"/>
    <col min="12" max="12" width="18" style="13" customWidth="1"/>
    <col min="13" max="14" width="13.42578125" style="13" customWidth="1"/>
    <col min="15" max="15" width="19.140625" style="13" customWidth="1"/>
    <col min="16" max="16" width="17.28515625" style="13" customWidth="1"/>
    <col min="17" max="17" width="16.5703125" style="6" customWidth="1"/>
    <col min="18" max="18" width="12.7109375" style="15" customWidth="1"/>
    <col min="19" max="46" width="8.7109375"/>
    <col min="47" max="47" width="9.140625" style="18"/>
    <col min="48" max="16384" width="9.140625" style="6"/>
  </cols>
  <sheetData>
    <row r="1" spans="1:47" s="5" customFormat="1" ht="47.25" customHeight="1">
      <c r="A1" s="187" t="s">
        <v>602</v>
      </c>
      <c r="B1" s="188"/>
      <c r="C1" s="188"/>
      <c r="D1" s="188"/>
      <c r="E1" s="189"/>
      <c r="F1" s="178" t="s">
        <v>603</v>
      </c>
      <c r="G1" s="179"/>
      <c r="H1" s="194" t="s">
        <v>604</v>
      </c>
      <c r="I1" s="220"/>
      <c r="J1" s="222"/>
      <c r="K1" s="194" t="s">
        <v>605</v>
      </c>
      <c r="L1" s="220"/>
      <c r="M1" s="220"/>
      <c r="N1" s="220"/>
      <c r="O1" s="220"/>
      <c r="P1" s="220"/>
      <c r="Q1" s="220"/>
      <c r="R1" s="221"/>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17"/>
    </row>
    <row r="2" spans="1:47" ht="43.5">
      <c r="A2" s="32" t="s">
        <v>482</v>
      </c>
      <c r="B2" s="88" t="s">
        <v>606</v>
      </c>
      <c r="C2" s="51" t="s">
        <v>607</v>
      </c>
      <c r="D2" s="51" t="s">
        <v>608</v>
      </c>
      <c r="E2" s="52" t="s">
        <v>609</v>
      </c>
      <c r="F2" s="32" t="s">
        <v>610</v>
      </c>
      <c r="G2" s="52" t="s">
        <v>611</v>
      </c>
      <c r="H2" s="32" t="s">
        <v>612</v>
      </c>
      <c r="I2" s="51" t="s">
        <v>613</v>
      </c>
      <c r="J2" s="52" t="s">
        <v>614</v>
      </c>
      <c r="K2" s="32" t="s">
        <v>615</v>
      </c>
      <c r="L2" s="51" t="s">
        <v>616</v>
      </c>
      <c r="M2" s="51" t="s">
        <v>617</v>
      </c>
      <c r="N2" s="51" t="s">
        <v>618</v>
      </c>
      <c r="O2" s="51" t="s">
        <v>619</v>
      </c>
      <c r="P2" s="51" t="s">
        <v>620</v>
      </c>
      <c r="Q2" s="51" t="s">
        <v>621</v>
      </c>
      <c r="R2" s="53" t="s">
        <v>622</v>
      </c>
    </row>
    <row r="3" spans="1:47" ht="76.5">
      <c r="A3" s="44">
        <v>1</v>
      </c>
      <c r="B3" s="89" t="s">
        <v>503</v>
      </c>
      <c r="C3" s="45" t="s">
        <v>501</v>
      </c>
      <c r="D3" s="45" t="s">
        <v>502</v>
      </c>
      <c r="E3" s="46">
        <v>3</v>
      </c>
      <c r="F3" s="47" t="s">
        <v>11</v>
      </c>
      <c r="G3" s="48" t="s">
        <v>623</v>
      </c>
      <c r="H3" s="47">
        <v>6</v>
      </c>
      <c r="I3" s="49">
        <v>16</v>
      </c>
      <c r="J3" s="169">
        <f>I3/H3</f>
        <v>2.6666666666666665</v>
      </c>
      <c r="K3" s="122">
        <v>390</v>
      </c>
      <c r="L3" s="117">
        <v>294</v>
      </c>
      <c r="M3" s="50">
        <v>0.754</v>
      </c>
      <c r="N3" s="50">
        <v>0.77600000000000002</v>
      </c>
      <c r="O3" s="50">
        <v>0.185</v>
      </c>
      <c r="P3" s="50">
        <v>0.92700000000000005</v>
      </c>
      <c r="Q3" s="126">
        <v>25</v>
      </c>
      <c r="R3" s="127">
        <v>0.56299999999999994</v>
      </c>
    </row>
    <row r="4" spans="1:47" ht="76.5">
      <c r="A4" s="22">
        <v>1</v>
      </c>
      <c r="B4" s="156" t="s">
        <v>544</v>
      </c>
      <c r="C4" s="8" t="s">
        <v>624</v>
      </c>
      <c r="D4" s="8" t="s">
        <v>508</v>
      </c>
      <c r="E4" s="16">
        <v>3</v>
      </c>
      <c r="F4" s="24" t="s">
        <v>11</v>
      </c>
      <c r="G4" s="27" t="s">
        <v>625</v>
      </c>
      <c r="H4" s="24">
        <v>3</v>
      </c>
      <c r="I4" s="9">
        <v>6</v>
      </c>
      <c r="J4" s="16">
        <f>I4/H4</f>
        <v>2</v>
      </c>
      <c r="K4" s="223" t="s">
        <v>544</v>
      </c>
      <c r="L4" s="224"/>
      <c r="M4" s="224"/>
      <c r="N4" s="224"/>
      <c r="O4" s="224"/>
      <c r="P4" s="224"/>
      <c r="Q4" s="224"/>
      <c r="R4" s="225"/>
    </row>
    <row r="5" spans="1:47" ht="106.5">
      <c r="A5" s="22">
        <v>1</v>
      </c>
      <c r="B5" s="90" t="s">
        <v>503</v>
      </c>
      <c r="C5" s="8" t="s">
        <v>517</v>
      </c>
      <c r="D5" s="8" t="s">
        <v>518</v>
      </c>
      <c r="E5" s="16">
        <v>3</v>
      </c>
      <c r="F5" s="24" t="s">
        <v>626</v>
      </c>
      <c r="G5" s="27" t="s">
        <v>627</v>
      </c>
      <c r="H5" s="24">
        <v>3</v>
      </c>
      <c r="I5" s="9">
        <v>8</v>
      </c>
      <c r="J5" s="170">
        <f>I5/H5</f>
        <v>2.6666666666666665</v>
      </c>
      <c r="K5" s="122">
        <v>450</v>
      </c>
      <c r="L5" s="117">
        <v>239</v>
      </c>
      <c r="M5" s="50">
        <v>0.53100000000000003</v>
      </c>
      <c r="N5" s="50">
        <v>0.67700000000000005</v>
      </c>
      <c r="O5" s="50">
        <v>0.30599999999999999</v>
      </c>
      <c r="P5" s="50">
        <v>0.94499999999999995</v>
      </c>
      <c r="Q5" s="126">
        <v>29</v>
      </c>
      <c r="R5" s="127">
        <v>0.48699999999999999</v>
      </c>
    </row>
    <row r="6" spans="1:47" ht="152.25">
      <c r="A6" s="22">
        <v>1</v>
      </c>
      <c r="B6" s="157" t="s">
        <v>628</v>
      </c>
      <c r="C6" s="8" t="s">
        <v>507</v>
      </c>
      <c r="D6" s="8" t="s">
        <v>519</v>
      </c>
      <c r="E6" s="16">
        <v>3</v>
      </c>
      <c r="F6" s="24" t="s">
        <v>93</v>
      </c>
      <c r="G6" s="27" t="s">
        <v>629</v>
      </c>
      <c r="H6" s="24">
        <v>4</v>
      </c>
      <c r="I6" s="9">
        <v>9</v>
      </c>
      <c r="J6" s="16">
        <f>I6/H6</f>
        <v>2.25</v>
      </c>
      <c r="K6" s="122">
        <v>913</v>
      </c>
      <c r="L6" s="117">
        <v>860</v>
      </c>
      <c r="M6" s="50">
        <v>0.94199999999999995</v>
      </c>
      <c r="N6" s="50">
        <v>0.96699999999999997</v>
      </c>
      <c r="O6" s="50">
        <v>1.0999999999999999E-2</v>
      </c>
      <c r="P6" s="50">
        <v>0.90100000000000002</v>
      </c>
      <c r="Q6" s="126">
        <v>9</v>
      </c>
      <c r="R6" s="127">
        <v>0.84899999999999998</v>
      </c>
    </row>
    <row r="7" spans="1:47" s="5" customFormat="1" ht="15">
      <c r="A7" s="217"/>
      <c r="B7" s="218"/>
      <c r="C7" s="219"/>
      <c r="D7" s="219"/>
      <c r="E7" s="67">
        <f>SUM(E3:E6)</f>
        <v>12</v>
      </c>
      <c r="F7" s="65"/>
      <c r="G7" s="68" t="s">
        <v>630</v>
      </c>
      <c r="H7" s="65"/>
      <c r="I7" s="66"/>
      <c r="J7" s="67"/>
      <c r="K7" s="69"/>
      <c r="L7" s="70"/>
      <c r="M7" s="70"/>
      <c r="N7" s="70"/>
      <c r="O7" s="70"/>
      <c r="P7" s="70"/>
      <c r="Q7" s="70"/>
      <c r="R7" s="71"/>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17"/>
    </row>
    <row r="8" spans="1:47" ht="213">
      <c r="A8" s="22">
        <v>2</v>
      </c>
      <c r="B8" s="90" t="s">
        <v>503</v>
      </c>
      <c r="C8" s="8" t="s">
        <v>523</v>
      </c>
      <c r="D8" s="8" t="s">
        <v>524</v>
      </c>
      <c r="E8" s="16">
        <v>3</v>
      </c>
      <c r="F8" s="24" t="s">
        <v>93</v>
      </c>
      <c r="G8" s="27" t="s">
        <v>631</v>
      </c>
      <c r="H8" s="24">
        <v>4</v>
      </c>
      <c r="I8" s="9">
        <v>12</v>
      </c>
      <c r="J8" s="16">
        <f>I8/H8</f>
        <v>3</v>
      </c>
      <c r="K8" s="123">
        <v>393</v>
      </c>
      <c r="L8" s="118">
        <v>204</v>
      </c>
      <c r="M8" s="79">
        <v>0.51900000000000002</v>
      </c>
      <c r="N8" s="10">
        <v>0.61399999999999999</v>
      </c>
      <c r="O8" s="10">
        <v>0.27100000000000002</v>
      </c>
      <c r="P8" s="10">
        <v>0.77700000000000002</v>
      </c>
      <c r="Q8" s="121">
        <v>40</v>
      </c>
      <c r="R8" s="87">
        <v>0.49299999999999999</v>
      </c>
    </row>
    <row r="9" spans="1:47" ht="183">
      <c r="A9" s="22">
        <v>2</v>
      </c>
      <c r="B9" s="90" t="s">
        <v>503</v>
      </c>
      <c r="C9" s="8" t="s">
        <v>527</v>
      </c>
      <c r="D9" s="8" t="s">
        <v>528</v>
      </c>
      <c r="E9" s="16">
        <v>3</v>
      </c>
      <c r="F9" s="24" t="s">
        <v>11</v>
      </c>
      <c r="G9" s="27" t="s">
        <v>632</v>
      </c>
      <c r="H9" s="24"/>
      <c r="I9" s="9"/>
      <c r="J9" s="16"/>
      <c r="K9" s="123">
        <v>59</v>
      </c>
      <c r="L9" s="118">
        <v>39</v>
      </c>
      <c r="M9" s="10">
        <v>0.66100000000000003</v>
      </c>
      <c r="N9" s="10">
        <v>0.73599999999999999</v>
      </c>
      <c r="O9" s="10">
        <v>0.17</v>
      </c>
      <c r="P9" s="10">
        <v>0.79900000000000004</v>
      </c>
      <c r="Q9" s="118">
        <v>28</v>
      </c>
      <c r="R9" s="85">
        <v>0.67300000000000004</v>
      </c>
    </row>
    <row r="10" spans="1:47" ht="76.5">
      <c r="A10" s="22">
        <v>2</v>
      </c>
      <c r="B10" s="90" t="s">
        <v>503</v>
      </c>
      <c r="C10" s="8" t="s">
        <v>531</v>
      </c>
      <c r="D10" s="8" t="s">
        <v>633</v>
      </c>
      <c r="E10" s="16">
        <v>3</v>
      </c>
      <c r="F10" s="24" t="s">
        <v>93</v>
      </c>
      <c r="G10" s="27" t="s">
        <v>634</v>
      </c>
      <c r="H10" s="24"/>
      <c r="I10" s="9"/>
      <c r="J10" s="16"/>
      <c r="K10" s="123">
        <v>1017</v>
      </c>
      <c r="L10" s="118">
        <v>879</v>
      </c>
      <c r="M10" s="10">
        <v>0.86399999999999999</v>
      </c>
      <c r="N10" s="10">
        <v>0.92600000000000005</v>
      </c>
      <c r="O10" s="10">
        <v>7.2999999999999995E-2</v>
      </c>
      <c r="P10" s="10">
        <v>0.97199999999999998</v>
      </c>
      <c r="Q10" s="118">
        <v>19</v>
      </c>
      <c r="R10" s="85">
        <v>0.79800000000000004</v>
      </c>
    </row>
    <row r="11" spans="1:47" ht="137.25">
      <c r="A11" s="72">
        <v>2</v>
      </c>
      <c r="B11" s="91" t="s">
        <v>503</v>
      </c>
      <c r="C11" s="73" t="s">
        <v>635</v>
      </c>
      <c r="D11" s="8" t="s">
        <v>636</v>
      </c>
      <c r="E11" s="74">
        <v>3</v>
      </c>
      <c r="F11" s="75" t="s">
        <v>637</v>
      </c>
      <c r="G11" s="76" t="s">
        <v>638</v>
      </c>
      <c r="H11" s="75"/>
      <c r="I11" s="77"/>
      <c r="J11" s="74"/>
      <c r="K11" s="123">
        <v>877</v>
      </c>
      <c r="L11" s="118">
        <v>836</v>
      </c>
      <c r="M11" s="10">
        <v>0.95299999999999996</v>
      </c>
      <c r="N11" s="10">
        <v>0.96899999999999997</v>
      </c>
      <c r="O11" s="10">
        <v>0.01</v>
      </c>
      <c r="P11" s="10">
        <v>0.96499999999999997</v>
      </c>
      <c r="Q11" s="118">
        <v>15</v>
      </c>
      <c r="R11" s="85">
        <v>0.872</v>
      </c>
    </row>
    <row r="12" spans="1:47" s="5" customFormat="1" ht="15" thickBot="1">
      <c r="A12" s="217"/>
      <c r="B12" s="218"/>
      <c r="C12" s="219"/>
      <c r="D12" s="219"/>
      <c r="E12" s="67">
        <f>SUM(E8:E11)</f>
        <v>12</v>
      </c>
      <c r="F12" s="65"/>
      <c r="G12" s="68" t="s">
        <v>630</v>
      </c>
      <c r="H12" s="65"/>
      <c r="I12" s="66"/>
      <c r="J12" s="67"/>
      <c r="K12" s="69"/>
      <c r="L12" s="70"/>
      <c r="M12" s="70"/>
      <c r="N12" s="70"/>
      <c r="O12" s="70"/>
      <c r="P12" s="70"/>
      <c r="Q12" s="70"/>
      <c r="R12" s="71"/>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17"/>
    </row>
    <row r="13" spans="1:47" ht="213">
      <c r="A13" s="31">
        <v>3</v>
      </c>
      <c r="B13" s="92" t="s">
        <v>503</v>
      </c>
      <c r="C13" s="33" t="s">
        <v>639</v>
      </c>
      <c r="D13" s="33" t="s">
        <v>640</v>
      </c>
      <c r="E13" s="34">
        <v>3</v>
      </c>
      <c r="F13" s="35" t="s">
        <v>93</v>
      </c>
      <c r="G13" s="76" t="s">
        <v>641</v>
      </c>
      <c r="H13" s="35"/>
      <c r="I13" s="37"/>
      <c r="J13" s="34"/>
      <c r="K13" s="124">
        <v>44</v>
      </c>
      <c r="L13" s="119">
        <v>43</v>
      </c>
      <c r="M13" s="79">
        <v>0.97699999999999998</v>
      </c>
      <c r="N13" s="79">
        <v>1</v>
      </c>
      <c r="O13" s="79">
        <v>0</v>
      </c>
      <c r="P13" s="79">
        <v>1</v>
      </c>
      <c r="Q13" s="119">
        <v>8</v>
      </c>
      <c r="R13" s="86">
        <v>0.77400000000000002</v>
      </c>
    </row>
    <row r="14" spans="1:47" ht="198">
      <c r="A14" s="22">
        <v>3</v>
      </c>
      <c r="B14" s="90" t="s">
        <v>503</v>
      </c>
      <c r="C14" s="8" t="s">
        <v>642</v>
      </c>
      <c r="D14" s="33" t="s">
        <v>643</v>
      </c>
      <c r="E14" s="16">
        <v>3</v>
      </c>
      <c r="F14" s="24" t="s">
        <v>11</v>
      </c>
      <c r="G14" s="76" t="s">
        <v>644</v>
      </c>
      <c r="H14" s="24"/>
      <c r="I14" s="9"/>
      <c r="J14" s="16"/>
      <c r="K14" s="124">
        <v>12</v>
      </c>
      <c r="L14" s="119">
        <v>10</v>
      </c>
      <c r="M14" s="79">
        <v>0.83299999999999996</v>
      </c>
      <c r="N14" s="79">
        <v>0.83299999999999996</v>
      </c>
      <c r="O14" s="79">
        <v>8.3000000000000004E-2</v>
      </c>
      <c r="P14" s="79">
        <v>0.86399999999999999</v>
      </c>
      <c r="Q14" s="119">
        <v>12</v>
      </c>
      <c r="R14" s="86">
        <v>0.75</v>
      </c>
    </row>
    <row r="15" spans="1:47" ht="183">
      <c r="A15" s="22">
        <v>3</v>
      </c>
      <c r="B15" s="156" t="s">
        <v>544</v>
      </c>
      <c r="C15" s="8" t="s">
        <v>624</v>
      </c>
      <c r="D15" s="8" t="s">
        <v>645</v>
      </c>
      <c r="E15" s="16">
        <v>3</v>
      </c>
      <c r="F15" s="24" t="s">
        <v>93</v>
      </c>
      <c r="G15" s="27" t="s">
        <v>646</v>
      </c>
      <c r="H15" s="24">
        <v>4</v>
      </c>
      <c r="I15" s="9">
        <v>8</v>
      </c>
      <c r="J15" s="16">
        <v>2</v>
      </c>
      <c r="K15" s="223" t="s">
        <v>544</v>
      </c>
      <c r="L15" s="224"/>
      <c r="M15" s="224"/>
      <c r="N15" s="224"/>
      <c r="O15" s="224"/>
      <c r="P15" s="224"/>
      <c r="Q15" s="224"/>
      <c r="R15" s="225"/>
    </row>
    <row r="16" spans="1:47" ht="198">
      <c r="A16" s="31">
        <v>3</v>
      </c>
      <c r="B16" s="92" t="s">
        <v>503</v>
      </c>
      <c r="C16" s="33" t="s">
        <v>647</v>
      </c>
      <c r="D16" s="33" t="s">
        <v>648</v>
      </c>
      <c r="E16" s="34">
        <v>3</v>
      </c>
      <c r="F16" s="35" t="s">
        <v>93</v>
      </c>
      <c r="G16" s="36" t="s">
        <v>649</v>
      </c>
      <c r="H16" s="35"/>
      <c r="I16" s="37"/>
      <c r="J16" s="34"/>
      <c r="K16" s="125">
        <v>32</v>
      </c>
      <c r="L16" s="120">
        <v>24</v>
      </c>
      <c r="M16" s="39">
        <v>0.75</v>
      </c>
      <c r="N16" s="39">
        <v>0.82799999999999996</v>
      </c>
      <c r="O16" s="39">
        <v>0.17199999999999999</v>
      </c>
      <c r="P16" s="39">
        <v>0.92300000000000004</v>
      </c>
      <c r="Q16" s="120">
        <v>14</v>
      </c>
      <c r="R16" s="82">
        <v>0.63300000000000001</v>
      </c>
    </row>
    <row r="17" spans="1:47" s="5" customFormat="1" ht="15">
      <c r="A17" s="217"/>
      <c r="B17" s="218"/>
      <c r="C17" s="219"/>
      <c r="D17" s="219"/>
      <c r="E17" s="67">
        <f>SUM(E13:E16)</f>
        <v>12</v>
      </c>
      <c r="F17" s="65"/>
      <c r="G17" s="68" t="s">
        <v>630</v>
      </c>
      <c r="H17" s="65"/>
      <c r="I17" s="66"/>
      <c r="J17" s="67"/>
      <c r="K17" s="69"/>
      <c r="L17" s="70"/>
      <c r="M17" s="70"/>
      <c r="N17" s="70"/>
      <c r="O17" s="70"/>
      <c r="P17" s="70"/>
      <c r="Q17" s="70"/>
      <c r="R17" s="71"/>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17"/>
    </row>
    <row r="18" spans="1:47" ht="229.5">
      <c r="A18" s="31">
        <v>4</v>
      </c>
      <c r="B18" s="92" t="s">
        <v>503</v>
      </c>
      <c r="C18" s="33" t="s">
        <v>650</v>
      </c>
      <c r="D18" s="33" t="s">
        <v>651</v>
      </c>
      <c r="E18" s="34">
        <v>3</v>
      </c>
      <c r="F18" s="35" t="s">
        <v>11</v>
      </c>
      <c r="G18" s="27" t="s">
        <v>652</v>
      </c>
      <c r="H18" s="35"/>
      <c r="I18" s="37"/>
      <c r="J18" s="34"/>
      <c r="K18" s="123">
        <v>25</v>
      </c>
      <c r="L18" s="118">
        <v>20</v>
      </c>
      <c r="M18" s="10">
        <v>0.8</v>
      </c>
      <c r="N18" s="10">
        <v>0.87</v>
      </c>
      <c r="O18" s="10">
        <v>0.13</v>
      </c>
      <c r="P18" s="10">
        <v>0.86699999999999999</v>
      </c>
      <c r="Q18" s="118">
        <v>35</v>
      </c>
      <c r="R18" s="85">
        <v>0.81</v>
      </c>
    </row>
    <row r="19" spans="1:47" ht="106.5">
      <c r="A19" s="22">
        <v>4</v>
      </c>
      <c r="B19" s="90" t="s">
        <v>503</v>
      </c>
      <c r="C19" s="8" t="s">
        <v>653</v>
      </c>
      <c r="D19" s="8" t="s">
        <v>654</v>
      </c>
      <c r="E19" s="16">
        <v>3</v>
      </c>
      <c r="F19" s="24" t="s">
        <v>11</v>
      </c>
      <c r="G19" s="27" t="s">
        <v>655</v>
      </c>
      <c r="H19" s="24"/>
      <c r="I19" s="9"/>
      <c r="J19" s="16"/>
      <c r="K19" s="28"/>
      <c r="L19" s="10"/>
      <c r="M19" s="10"/>
      <c r="N19" s="10"/>
      <c r="O19" s="10"/>
      <c r="P19" s="10"/>
      <c r="Q19" s="10"/>
      <c r="R19" s="29"/>
    </row>
    <row r="20" spans="1:47" ht="81.75" customHeight="1">
      <c r="A20" s="22">
        <v>4</v>
      </c>
      <c r="B20" s="156" t="s">
        <v>544</v>
      </c>
      <c r="C20" s="8" t="s">
        <v>624</v>
      </c>
      <c r="D20" s="8" t="s">
        <v>656</v>
      </c>
      <c r="E20" s="16">
        <v>3</v>
      </c>
      <c r="F20" s="24" t="s">
        <v>93</v>
      </c>
      <c r="G20" s="27" t="s">
        <v>657</v>
      </c>
      <c r="H20" s="24">
        <v>2</v>
      </c>
      <c r="I20" s="9">
        <v>5</v>
      </c>
      <c r="J20" s="16">
        <f>I20/H20</f>
        <v>2.5</v>
      </c>
      <c r="K20" s="211" t="s">
        <v>544</v>
      </c>
      <c r="L20" s="212"/>
      <c r="M20" s="212"/>
      <c r="N20" s="212"/>
      <c r="O20" s="212"/>
      <c r="P20" s="212"/>
      <c r="Q20" s="212"/>
      <c r="R20" s="213"/>
    </row>
    <row r="21" spans="1:47" ht="167.25">
      <c r="A21" s="72">
        <v>4</v>
      </c>
      <c r="B21" s="91" t="s">
        <v>503</v>
      </c>
      <c r="C21" s="73" t="s">
        <v>658</v>
      </c>
      <c r="D21" s="73" t="s">
        <v>659</v>
      </c>
      <c r="E21" s="74">
        <v>3</v>
      </c>
      <c r="F21" s="75" t="s">
        <v>93</v>
      </c>
      <c r="G21" s="76" t="s">
        <v>660</v>
      </c>
      <c r="H21" s="75"/>
      <c r="I21" s="77"/>
      <c r="J21" s="74"/>
      <c r="K21" s="78"/>
      <c r="L21" s="79"/>
      <c r="M21" s="79"/>
      <c r="N21" s="79"/>
      <c r="O21" s="79"/>
      <c r="P21" s="79"/>
      <c r="Q21" s="79"/>
      <c r="R21" s="80"/>
    </row>
    <row r="22" spans="1:47" s="5" customFormat="1" ht="15">
      <c r="A22" s="217"/>
      <c r="B22" s="218"/>
      <c r="C22" s="219"/>
      <c r="D22" s="219"/>
      <c r="E22" s="67">
        <f>SUM(E18:E21)</f>
        <v>12</v>
      </c>
      <c r="F22" s="65"/>
      <c r="G22" s="68" t="s">
        <v>630</v>
      </c>
      <c r="H22" s="65"/>
      <c r="I22" s="66"/>
      <c r="J22" s="67"/>
      <c r="K22" s="69"/>
      <c r="L22" s="70"/>
      <c r="M22" s="70"/>
      <c r="N22" s="70"/>
      <c r="O22" s="70"/>
      <c r="P22" s="70"/>
      <c r="Q22" s="70"/>
      <c r="R22" s="71"/>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17"/>
    </row>
    <row r="23" spans="1:47" ht="137.25">
      <c r="A23" s="72">
        <v>3</v>
      </c>
      <c r="B23" s="91" t="s">
        <v>503</v>
      </c>
      <c r="C23" s="73" t="s">
        <v>661</v>
      </c>
      <c r="D23" s="73" t="s">
        <v>662</v>
      </c>
      <c r="E23" s="74">
        <v>4</v>
      </c>
      <c r="F23" s="75" t="s">
        <v>93</v>
      </c>
      <c r="G23" s="27" t="s">
        <v>663</v>
      </c>
      <c r="H23" s="75"/>
      <c r="I23" s="77"/>
      <c r="J23" s="74"/>
      <c r="K23" s="123">
        <v>150</v>
      </c>
      <c r="L23" s="118">
        <v>111</v>
      </c>
      <c r="M23" s="10">
        <v>0.74</v>
      </c>
      <c r="N23" s="10">
        <v>0.88100000000000001</v>
      </c>
      <c r="O23" s="10">
        <v>0.111</v>
      </c>
      <c r="P23" s="12">
        <v>0.98199999999999998</v>
      </c>
      <c r="Q23" s="118">
        <v>23</v>
      </c>
      <c r="R23" s="83">
        <v>0.57599999999999996</v>
      </c>
    </row>
    <row r="24" spans="1:47" ht="198">
      <c r="A24" s="22">
        <v>5</v>
      </c>
      <c r="B24" s="156" t="s">
        <v>544</v>
      </c>
      <c r="C24" s="8" t="s">
        <v>624</v>
      </c>
      <c r="D24" s="8" t="s">
        <v>664</v>
      </c>
      <c r="E24" s="16">
        <v>3</v>
      </c>
      <c r="F24" s="24" t="s">
        <v>93</v>
      </c>
      <c r="G24" s="27" t="s">
        <v>665</v>
      </c>
      <c r="H24" s="24">
        <v>2</v>
      </c>
      <c r="I24" s="9">
        <v>5</v>
      </c>
      <c r="J24" s="16">
        <f>I24/H24</f>
        <v>2.5</v>
      </c>
      <c r="K24" s="28"/>
      <c r="L24" s="10"/>
      <c r="M24" s="10"/>
      <c r="N24" s="10"/>
      <c r="O24" s="10"/>
      <c r="P24" s="10"/>
      <c r="Q24" s="10"/>
      <c r="R24" s="29"/>
    </row>
    <row r="25" spans="1:47" ht="167.25">
      <c r="A25" s="31">
        <v>5</v>
      </c>
      <c r="B25" s="92" t="s">
        <v>503</v>
      </c>
      <c r="C25" s="33" t="s">
        <v>666</v>
      </c>
      <c r="D25" s="33" t="s">
        <v>667</v>
      </c>
      <c r="E25" s="34">
        <v>2</v>
      </c>
      <c r="F25" s="35" t="s">
        <v>93</v>
      </c>
      <c r="G25" s="36" t="s">
        <v>668</v>
      </c>
      <c r="H25" s="35"/>
      <c r="I25" s="37"/>
      <c r="J25" s="34"/>
      <c r="K25" s="125">
        <v>112</v>
      </c>
      <c r="L25" s="120">
        <v>83</v>
      </c>
      <c r="M25" s="39">
        <v>0.74099999999999999</v>
      </c>
      <c r="N25" s="39">
        <v>0.82199999999999995</v>
      </c>
      <c r="O25" s="39">
        <v>0.16800000000000001</v>
      </c>
      <c r="P25" s="54">
        <v>0.91200000000000003</v>
      </c>
      <c r="Q25" s="120">
        <v>22</v>
      </c>
      <c r="R25" s="84">
        <v>0.60399999999999998</v>
      </c>
    </row>
    <row r="26" spans="1:47" ht="167.25">
      <c r="A26" s="22">
        <v>5</v>
      </c>
      <c r="B26" s="90" t="s">
        <v>503</v>
      </c>
      <c r="C26" s="8" t="s">
        <v>669</v>
      </c>
      <c r="D26" s="8" t="s">
        <v>670</v>
      </c>
      <c r="E26" s="16">
        <v>3</v>
      </c>
      <c r="F26" s="24" t="s">
        <v>93</v>
      </c>
      <c r="G26" s="27" t="s">
        <v>671</v>
      </c>
      <c r="H26" s="24"/>
      <c r="I26" s="9"/>
      <c r="J26" s="16"/>
      <c r="K26" s="24">
        <v>482</v>
      </c>
      <c r="L26" s="9">
        <v>455</v>
      </c>
      <c r="M26" s="10">
        <v>0.94399999999999995</v>
      </c>
      <c r="N26" s="10">
        <v>0.96</v>
      </c>
      <c r="O26" s="10">
        <v>0.04</v>
      </c>
      <c r="P26" s="10">
        <v>0.99099999999999999</v>
      </c>
      <c r="Q26" s="9">
        <v>10</v>
      </c>
      <c r="R26" s="29">
        <v>0.92100000000000004</v>
      </c>
    </row>
    <row r="27" spans="1:47" s="5" customFormat="1" ht="15" thickBot="1">
      <c r="A27" s="217"/>
      <c r="B27" s="218"/>
      <c r="C27" s="219"/>
      <c r="D27" s="219"/>
      <c r="E27" s="67">
        <f>SUM(E23:E26)</f>
        <v>12</v>
      </c>
      <c r="F27" s="65"/>
      <c r="G27" s="68" t="s">
        <v>630</v>
      </c>
      <c r="H27" s="65"/>
      <c r="I27" s="66"/>
      <c r="J27" s="67"/>
      <c r="K27" s="69"/>
      <c r="L27" s="70"/>
      <c r="M27" s="70"/>
      <c r="N27" s="70"/>
      <c r="O27" s="70"/>
      <c r="P27" s="70"/>
      <c r="Q27" s="70"/>
      <c r="R27" s="71"/>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17"/>
    </row>
    <row r="28" spans="1:47" ht="106.5">
      <c r="A28" s="22">
        <v>6</v>
      </c>
      <c r="B28" s="90" t="s">
        <v>503</v>
      </c>
      <c r="C28" s="8" t="s">
        <v>672</v>
      </c>
      <c r="D28" s="8" t="s">
        <v>673</v>
      </c>
      <c r="E28" s="16">
        <v>3</v>
      </c>
      <c r="F28" s="24" t="s">
        <v>93</v>
      </c>
      <c r="G28" s="27" t="s">
        <v>674</v>
      </c>
      <c r="H28" s="24"/>
      <c r="I28" s="9"/>
      <c r="J28" s="16"/>
      <c r="K28" s="123">
        <v>17</v>
      </c>
      <c r="L28" s="118">
        <v>17</v>
      </c>
      <c r="M28" s="10">
        <v>1</v>
      </c>
      <c r="N28" s="10">
        <v>1</v>
      </c>
      <c r="O28" s="10">
        <v>0</v>
      </c>
      <c r="P28" s="10">
        <v>1</v>
      </c>
      <c r="Q28" s="118">
        <v>3</v>
      </c>
      <c r="R28" s="85">
        <v>1</v>
      </c>
    </row>
    <row r="29" spans="1:47" ht="290.25">
      <c r="A29" s="22">
        <v>6</v>
      </c>
      <c r="B29" s="156" t="s">
        <v>544</v>
      </c>
      <c r="C29" s="8" t="s">
        <v>624</v>
      </c>
      <c r="D29" s="8" t="s">
        <v>675</v>
      </c>
      <c r="E29" s="16">
        <v>3</v>
      </c>
      <c r="F29" s="24" t="s">
        <v>93</v>
      </c>
      <c r="G29" s="27" t="s">
        <v>676</v>
      </c>
      <c r="H29" s="24">
        <v>3</v>
      </c>
      <c r="I29" s="9">
        <v>8</v>
      </c>
      <c r="J29" s="171">
        <f>I29/H29</f>
        <v>2.6666666666666665</v>
      </c>
      <c r="K29" s="28"/>
      <c r="L29" s="10"/>
      <c r="M29" s="10"/>
      <c r="N29" s="10"/>
      <c r="O29" s="10"/>
      <c r="P29" s="10"/>
      <c r="Q29" s="10"/>
      <c r="R29" s="29"/>
    </row>
    <row r="30" spans="1:47" ht="137.25">
      <c r="A30" s="22">
        <v>6</v>
      </c>
      <c r="B30" s="90" t="s">
        <v>503</v>
      </c>
      <c r="C30" s="8" t="s">
        <v>677</v>
      </c>
      <c r="D30" s="8" t="s">
        <v>678</v>
      </c>
      <c r="E30" s="16">
        <v>3</v>
      </c>
      <c r="F30" s="24" t="s">
        <v>11</v>
      </c>
      <c r="G30" s="27" t="s">
        <v>679</v>
      </c>
      <c r="H30" s="24"/>
      <c r="I30" s="9"/>
      <c r="J30" s="16"/>
      <c r="K30" s="28"/>
      <c r="L30" s="10"/>
      <c r="M30" s="10"/>
      <c r="N30" s="10"/>
      <c r="O30" s="10"/>
      <c r="P30" s="10"/>
      <c r="Q30" s="10"/>
      <c r="R30" s="29"/>
    </row>
    <row r="31" spans="1:47" ht="60.75">
      <c r="A31" s="72">
        <v>6</v>
      </c>
      <c r="B31" s="91" t="s">
        <v>503</v>
      </c>
      <c r="C31" s="73" t="s">
        <v>680</v>
      </c>
      <c r="D31" s="73" t="s">
        <v>681</v>
      </c>
      <c r="E31" s="74">
        <v>4</v>
      </c>
      <c r="F31" s="75" t="s">
        <v>11</v>
      </c>
      <c r="G31" s="76" t="s">
        <v>682</v>
      </c>
      <c r="H31" s="75"/>
      <c r="I31" s="77"/>
      <c r="J31" s="74"/>
      <c r="K31" s="124">
        <v>68</v>
      </c>
      <c r="L31" s="119">
        <v>56</v>
      </c>
      <c r="M31" s="79">
        <v>0.82399999999999995</v>
      </c>
      <c r="N31" s="79">
        <v>0.90300000000000002</v>
      </c>
      <c r="O31" s="79">
        <v>9.7000000000000003E-2</v>
      </c>
      <c r="P31" s="79">
        <v>0.97299999999999998</v>
      </c>
      <c r="Q31" s="119">
        <v>18</v>
      </c>
      <c r="R31" s="86">
        <v>0.71</v>
      </c>
    </row>
    <row r="32" spans="1:47" s="5" customFormat="1">
      <c r="A32" s="217"/>
      <c r="B32" s="218"/>
      <c r="C32" s="219"/>
      <c r="D32" s="219"/>
      <c r="E32" s="67">
        <f>SUM(E28:E31)</f>
        <v>13</v>
      </c>
      <c r="F32" s="65"/>
      <c r="G32" s="68" t="s">
        <v>630</v>
      </c>
      <c r="H32" s="65"/>
      <c r="I32" s="66"/>
      <c r="J32" s="67"/>
      <c r="K32" s="81"/>
      <c r="L32" s="70"/>
      <c r="M32" s="70"/>
      <c r="N32" s="70"/>
      <c r="O32" s="70"/>
      <c r="P32" s="70"/>
      <c r="Q32" s="70"/>
      <c r="R32" s="71"/>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17"/>
    </row>
    <row r="33" spans="1:47" ht="121.5">
      <c r="A33" s="31">
        <v>7</v>
      </c>
      <c r="B33" s="92" t="s">
        <v>503</v>
      </c>
      <c r="C33" s="33" t="s">
        <v>683</v>
      </c>
      <c r="D33" s="33" t="s">
        <v>684</v>
      </c>
      <c r="E33" s="34">
        <v>3</v>
      </c>
      <c r="F33" s="35" t="s">
        <v>11</v>
      </c>
      <c r="G33" s="36" t="s">
        <v>685</v>
      </c>
      <c r="H33" s="35"/>
      <c r="I33" s="37"/>
      <c r="J33" s="34"/>
      <c r="K33" s="123">
        <v>24</v>
      </c>
      <c r="L33" s="118">
        <v>21</v>
      </c>
      <c r="M33" s="10">
        <v>0.875</v>
      </c>
      <c r="N33" s="10">
        <v>0.875</v>
      </c>
      <c r="O33" s="10">
        <v>4.2000000000000003E-2</v>
      </c>
      <c r="P33" s="10">
        <v>0.91300000000000003</v>
      </c>
      <c r="Q33" s="118">
        <v>3</v>
      </c>
      <c r="R33" s="85">
        <v>0.81</v>
      </c>
    </row>
    <row r="34" spans="1:47" ht="144.94999999999999">
      <c r="A34" s="31">
        <v>7</v>
      </c>
      <c r="B34" s="92" t="s">
        <v>503</v>
      </c>
      <c r="C34" s="33" t="s">
        <v>686</v>
      </c>
      <c r="D34" s="33" t="s">
        <v>687</v>
      </c>
      <c r="E34" s="34">
        <v>3</v>
      </c>
      <c r="F34" s="35" t="s">
        <v>11</v>
      </c>
      <c r="G34" s="36" t="s">
        <v>688</v>
      </c>
      <c r="H34" s="35"/>
      <c r="I34" s="37"/>
      <c r="J34" s="34"/>
      <c r="K34" s="38"/>
      <c r="L34" s="39"/>
      <c r="M34" s="39"/>
      <c r="N34" s="39"/>
      <c r="O34" s="39"/>
      <c r="P34" s="54"/>
      <c r="Q34" s="54"/>
      <c r="R34" s="55"/>
    </row>
    <row r="35" spans="1:47" ht="321">
      <c r="A35" s="22">
        <v>7</v>
      </c>
      <c r="B35" s="157" t="s">
        <v>628</v>
      </c>
      <c r="C35" s="8" t="s">
        <v>507</v>
      </c>
      <c r="D35" s="33" t="s">
        <v>689</v>
      </c>
      <c r="E35" s="16">
        <v>3</v>
      </c>
      <c r="F35" s="24" t="s">
        <v>93</v>
      </c>
      <c r="G35" s="27" t="s">
        <v>690</v>
      </c>
      <c r="H35" s="24">
        <v>5</v>
      </c>
      <c r="I35" s="9">
        <v>11</v>
      </c>
      <c r="J35" s="16">
        <f>I35/H35</f>
        <v>2.2000000000000002</v>
      </c>
      <c r="K35" s="123">
        <v>1441</v>
      </c>
      <c r="L35" s="118">
        <v>1169</v>
      </c>
      <c r="M35" s="10">
        <v>0.81100000000000005</v>
      </c>
      <c r="N35" s="10">
        <v>0.85799999999999998</v>
      </c>
      <c r="O35" s="10">
        <v>6.6000000000000003E-2</v>
      </c>
      <c r="P35" s="10">
        <v>0.79600000000000004</v>
      </c>
      <c r="Q35" s="118">
        <v>19</v>
      </c>
      <c r="R35" s="85">
        <v>0.76500000000000001</v>
      </c>
    </row>
    <row r="36" spans="1:47" ht="121.5">
      <c r="A36" s="72">
        <v>7</v>
      </c>
      <c r="B36" s="91" t="s">
        <v>503</v>
      </c>
      <c r="C36" s="73" t="s">
        <v>691</v>
      </c>
      <c r="D36" s="33" t="s">
        <v>692</v>
      </c>
      <c r="E36" s="74">
        <v>3</v>
      </c>
      <c r="F36" s="75" t="s">
        <v>93</v>
      </c>
      <c r="G36" s="76" t="s">
        <v>693</v>
      </c>
      <c r="H36" s="75"/>
      <c r="I36" s="77"/>
      <c r="J36" s="74"/>
      <c r="K36" s="123">
        <v>349</v>
      </c>
      <c r="L36" s="118">
        <v>333</v>
      </c>
      <c r="M36" s="10">
        <v>0.95399999999999996</v>
      </c>
      <c r="N36" s="10">
        <v>0.96499999999999997</v>
      </c>
      <c r="O36" s="10">
        <v>3.5000000000000003E-2</v>
      </c>
      <c r="P36" s="10">
        <v>0.98199999999999998</v>
      </c>
      <c r="Q36" s="118">
        <v>9</v>
      </c>
      <c r="R36" s="85">
        <v>0.92200000000000004</v>
      </c>
    </row>
    <row r="37" spans="1:47" s="5" customFormat="1" ht="15" thickBot="1">
      <c r="A37" s="217"/>
      <c r="B37" s="218"/>
      <c r="C37" s="219"/>
      <c r="D37" s="219"/>
      <c r="E37" s="67">
        <f>SUM(E33:E36)</f>
        <v>12</v>
      </c>
      <c r="F37" s="65"/>
      <c r="G37" s="68" t="s">
        <v>630</v>
      </c>
      <c r="H37" s="65"/>
      <c r="I37" s="66"/>
      <c r="J37" s="67"/>
      <c r="K37" s="69"/>
      <c r="L37" s="70"/>
      <c r="M37" s="70"/>
      <c r="N37" s="70"/>
      <c r="O37" s="70"/>
      <c r="P37" s="70"/>
      <c r="Q37" s="70"/>
      <c r="R37" s="71"/>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17"/>
    </row>
    <row r="38" spans="1:47" ht="213">
      <c r="A38" s="31">
        <v>8</v>
      </c>
      <c r="B38" s="92" t="s">
        <v>503</v>
      </c>
      <c r="C38" s="33" t="s">
        <v>694</v>
      </c>
      <c r="D38" s="33" t="s">
        <v>695</v>
      </c>
      <c r="E38" s="34">
        <v>3</v>
      </c>
      <c r="F38" s="35" t="s">
        <v>93</v>
      </c>
      <c r="G38" s="36" t="s">
        <v>696</v>
      </c>
      <c r="H38" s="35"/>
      <c r="I38" s="37"/>
      <c r="J38" s="34"/>
      <c r="K38" s="125">
        <v>12</v>
      </c>
      <c r="L38" s="120">
        <v>12</v>
      </c>
      <c r="M38" s="39">
        <v>1</v>
      </c>
      <c r="N38" s="39">
        <v>1</v>
      </c>
      <c r="O38" s="39">
        <v>0</v>
      </c>
      <c r="P38" s="39">
        <v>1</v>
      </c>
      <c r="Q38" s="120">
        <v>8</v>
      </c>
      <c r="R38" s="82">
        <v>0.85699999999999998</v>
      </c>
    </row>
    <row r="39" spans="1:47" ht="137.25">
      <c r="A39" s="22">
        <v>8</v>
      </c>
      <c r="B39" s="157" t="s">
        <v>628</v>
      </c>
      <c r="C39" s="8" t="s">
        <v>697</v>
      </c>
      <c r="D39" s="8" t="s">
        <v>698</v>
      </c>
      <c r="E39" s="16">
        <v>3</v>
      </c>
      <c r="F39" s="24" t="s">
        <v>93</v>
      </c>
      <c r="G39" s="27" t="s">
        <v>699</v>
      </c>
      <c r="H39" s="24">
        <v>4</v>
      </c>
      <c r="I39" s="9">
        <v>8</v>
      </c>
      <c r="J39" s="16">
        <f>I39/H39</f>
        <v>2</v>
      </c>
      <c r="K39" s="123">
        <v>1082</v>
      </c>
      <c r="L39" s="118">
        <v>949</v>
      </c>
      <c r="M39" s="10">
        <v>0.877</v>
      </c>
      <c r="N39" s="10">
        <v>0.90600000000000003</v>
      </c>
      <c r="O39" s="10">
        <v>3.7999999999999999E-2</v>
      </c>
      <c r="P39" s="10">
        <v>0.82499999999999996</v>
      </c>
      <c r="Q39" s="118">
        <v>14</v>
      </c>
      <c r="R39" s="85">
        <v>0.80200000000000005</v>
      </c>
    </row>
    <row r="40" spans="1:47" ht="106.5">
      <c r="A40" s="31">
        <v>8</v>
      </c>
      <c r="B40" s="92" t="s">
        <v>503</v>
      </c>
      <c r="C40" s="33" t="s">
        <v>700</v>
      </c>
      <c r="D40" s="73" t="s">
        <v>701</v>
      </c>
      <c r="E40" s="34">
        <v>3</v>
      </c>
      <c r="F40" s="35" t="s">
        <v>11</v>
      </c>
      <c r="G40" s="36" t="s">
        <v>702</v>
      </c>
      <c r="H40" s="35"/>
      <c r="I40" s="37"/>
      <c r="J40" s="34"/>
      <c r="K40" s="125">
        <v>12</v>
      </c>
      <c r="L40" s="120">
        <v>11</v>
      </c>
      <c r="M40" s="39">
        <v>0.91700000000000004</v>
      </c>
      <c r="N40" s="39">
        <v>0.91700000000000004</v>
      </c>
      <c r="O40" s="39">
        <v>8.3000000000000004E-2</v>
      </c>
      <c r="P40" s="39">
        <v>0.95499999999999996</v>
      </c>
      <c r="Q40" s="120">
        <v>7</v>
      </c>
      <c r="R40" s="82">
        <v>0.6</v>
      </c>
    </row>
    <row r="41" spans="1:47" ht="76.5">
      <c r="A41" s="72">
        <v>8</v>
      </c>
      <c r="B41" s="91" t="s">
        <v>503</v>
      </c>
      <c r="C41" s="73" t="s">
        <v>703</v>
      </c>
      <c r="D41" s="73" t="s">
        <v>704</v>
      </c>
      <c r="E41" s="74">
        <v>4</v>
      </c>
      <c r="F41" s="75" t="s">
        <v>93</v>
      </c>
      <c r="G41" s="76" t="s">
        <v>705</v>
      </c>
      <c r="H41" s="75"/>
      <c r="I41" s="77"/>
      <c r="J41" s="74"/>
      <c r="K41" s="123">
        <v>29</v>
      </c>
      <c r="L41" s="118">
        <v>27</v>
      </c>
      <c r="M41" s="10">
        <v>0.93100000000000005</v>
      </c>
      <c r="N41" s="10">
        <v>0.96399999999999997</v>
      </c>
      <c r="O41" s="10">
        <v>3.5999999999999997E-2</v>
      </c>
      <c r="P41" s="10">
        <v>0.96399999999999997</v>
      </c>
      <c r="Q41" s="118">
        <v>11</v>
      </c>
      <c r="R41" s="85">
        <v>0.9</v>
      </c>
    </row>
    <row r="42" spans="1:47" s="5" customFormat="1" ht="15" thickBot="1">
      <c r="A42" s="217"/>
      <c r="B42" s="218"/>
      <c r="C42" s="219"/>
      <c r="D42" s="219"/>
      <c r="E42" s="67">
        <f>SUM(E38:E41)</f>
        <v>13</v>
      </c>
      <c r="F42" s="65"/>
      <c r="G42" s="68" t="s">
        <v>630</v>
      </c>
      <c r="H42" s="65"/>
      <c r="I42" s="66"/>
      <c r="J42" s="67"/>
      <c r="K42" s="69"/>
      <c r="L42" s="70"/>
      <c r="M42" s="70"/>
      <c r="N42" s="70"/>
      <c r="O42" s="70"/>
      <c r="P42" s="70"/>
      <c r="Q42" s="70"/>
      <c r="R42" s="71"/>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17"/>
    </row>
    <row r="43" spans="1:47" ht="91.5">
      <c r="A43" s="22">
        <v>9</v>
      </c>
      <c r="B43" s="157" t="s">
        <v>628</v>
      </c>
      <c r="C43" s="8" t="s">
        <v>507</v>
      </c>
      <c r="D43" s="8" t="s">
        <v>706</v>
      </c>
      <c r="E43" s="16">
        <v>3</v>
      </c>
      <c r="F43" s="24" t="s">
        <v>93</v>
      </c>
      <c r="G43" s="27" t="s">
        <v>707</v>
      </c>
      <c r="H43" s="26">
        <v>2</v>
      </c>
      <c r="I43" s="13">
        <v>5</v>
      </c>
      <c r="J43" s="16">
        <v>2.5</v>
      </c>
      <c r="K43" s="172">
        <v>867</v>
      </c>
      <c r="L43" s="121">
        <v>848</v>
      </c>
      <c r="M43" s="173">
        <v>0.97799999999999998</v>
      </c>
      <c r="N43" s="173">
        <v>0.98299999999999998</v>
      </c>
      <c r="O43" s="173">
        <v>1.6E-2</v>
      </c>
      <c r="P43" s="173">
        <v>0.99199999999999999</v>
      </c>
      <c r="Q43" s="121">
        <v>8</v>
      </c>
      <c r="R43" s="87">
        <v>0.88100000000000001</v>
      </c>
    </row>
    <row r="44" spans="1:47" ht="229.5">
      <c r="A44" s="22">
        <v>9</v>
      </c>
      <c r="B44" s="90" t="s">
        <v>503</v>
      </c>
      <c r="C44" s="8" t="s">
        <v>708</v>
      </c>
      <c r="D44" s="8" t="s">
        <v>709</v>
      </c>
      <c r="E44" s="16">
        <v>3</v>
      </c>
      <c r="F44" s="24" t="s">
        <v>93</v>
      </c>
      <c r="G44" s="27" t="s">
        <v>710</v>
      </c>
      <c r="H44" s="24"/>
      <c r="I44" s="9"/>
      <c r="J44" s="16"/>
      <c r="K44" s="123">
        <v>64</v>
      </c>
      <c r="L44" s="118">
        <v>39</v>
      </c>
      <c r="M44" s="10">
        <v>0.60899999999999999</v>
      </c>
      <c r="N44" s="10">
        <v>0.75</v>
      </c>
      <c r="O44" s="10">
        <v>0.23100000000000001</v>
      </c>
      <c r="P44" s="12">
        <v>0.88600000000000001</v>
      </c>
      <c r="Q44" s="118">
        <v>24</v>
      </c>
      <c r="R44" s="83">
        <v>0.52700000000000002</v>
      </c>
    </row>
    <row r="45" spans="1:47" ht="76.5">
      <c r="A45" s="22">
        <v>9</v>
      </c>
      <c r="B45" s="90" t="s">
        <v>503</v>
      </c>
      <c r="C45" s="8" t="s">
        <v>711</v>
      </c>
      <c r="D45" s="8" t="s">
        <v>712</v>
      </c>
      <c r="E45" s="16">
        <v>3</v>
      </c>
      <c r="F45" s="24" t="s">
        <v>11</v>
      </c>
      <c r="G45" s="27" t="s">
        <v>713</v>
      </c>
      <c r="H45" s="24"/>
      <c r="I45" s="9"/>
      <c r="J45" s="16"/>
      <c r="K45" s="125">
        <v>8</v>
      </c>
      <c r="L45" s="120">
        <v>8</v>
      </c>
      <c r="M45" s="39">
        <v>1</v>
      </c>
      <c r="N45" s="39">
        <v>1</v>
      </c>
      <c r="O45" s="39">
        <v>0</v>
      </c>
      <c r="P45" s="39">
        <v>0.93799999999999994</v>
      </c>
      <c r="Q45" s="120">
        <v>13</v>
      </c>
      <c r="R45" s="82">
        <v>1</v>
      </c>
    </row>
    <row r="46" spans="1:47" ht="105" customHeight="1">
      <c r="A46" s="72">
        <v>9</v>
      </c>
      <c r="B46" s="158" t="s">
        <v>544</v>
      </c>
      <c r="C46" s="73" t="s">
        <v>624</v>
      </c>
      <c r="D46" s="73" t="s">
        <v>714</v>
      </c>
      <c r="E46" s="74">
        <v>3</v>
      </c>
      <c r="F46" s="75" t="s">
        <v>93</v>
      </c>
      <c r="G46" s="76" t="s">
        <v>715</v>
      </c>
      <c r="H46" s="75">
        <v>2</v>
      </c>
      <c r="I46" s="77">
        <v>7</v>
      </c>
      <c r="J46" s="74">
        <f>I46/H46</f>
        <v>3.5</v>
      </c>
      <c r="K46" s="214" t="s">
        <v>544</v>
      </c>
      <c r="L46" s="215"/>
      <c r="M46" s="215"/>
      <c r="N46" s="215"/>
      <c r="O46" s="215"/>
      <c r="P46" s="215"/>
      <c r="Q46" s="215"/>
      <c r="R46" s="216"/>
    </row>
    <row r="47" spans="1:47" s="5" customFormat="1" ht="15">
      <c r="A47" s="217"/>
      <c r="B47" s="218"/>
      <c r="C47" s="219"/>
      <c r="D47" s="219"/>
      <c r="E47" s="67">
        <f>SUM(E43:E46)</f>
        <v>12</v>
      </c>
      <c r="F47" s="65"/>
      <c r="G47" s="68" t="s">
        <v>630</v>
      </c>
      <c r="H47" s="65"/>
      <c r="I47" s="66"/>
      <c r="J47" s="67"/>
      <c r="K47" s="69"/>
      <c r="L47" s="70"/>
      <c r="M47" s="70"/>
      <c r="N47" s="70"/>
      <c r="O47" s="70"/>
      <c r="P47" s="70"/>
      <c r="Q47" s="70"/>
      <c r="R47" s="71"/>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17"/>
    </row>
    <row r="48" spans="1:47" ht="15" thickBot="1">
      <c r="A48" s="30"/>
      <c r="B48" s="93"/>
      <c r="C48" s="56"/>
      <c r="D48" s="56" t="s">
        <v>716</v>
      </c>
      <c r="E48" s="57">
        <f>SUM(E42,E37,E32,E27,E22,E17,E12,E7,E47)</f>
        <v>110</v>
      </c>
      <c r="F48" s="58"/>
      <c r="G48" s="59"/>
      <c r="H48" s="58"/>
      <c r="I48" s="60"/>
      <c r="J48" s="61"/>
      <c r="K48" s="62"/>
      <c r="L48" s="63"/>
      <c r="M48" s="63"/>
      <c r="N48" s="63"/>
      <c r="O48" s="63"/>
      <c r="P48" s="63"/>
      <c r="Q48" s="63"/>
      <c r="R48" s="64"/>
    </row>
    <row r="49" spans="1:18">
      <c r="A49" s="23"/>
      <c r="B49" s="23"/>
      <c r="C49" s="20"/>
      <c r="D49" s="20"/>
      <c r="E49" s="19"/>
      <c r="F49" s="19"/>
      <c r="G49" s="25"/>
      <c r="H49" s="19"/>
      <c r="I49" s="19"/>
      <c r="J49" s="19"/>
      <c r="K49" s="19"/>
      <c r="L49" s="19"/>
      <c r="M49" s="19"/>
      <c r="N49" s="19"/>
      <c r="O49" s="19"/>
      <c r="P49" s="19"/>
      <c r="Q49" s="20"/>
      <c r="R49" s="21"/>
    </row>
    <row r="50" spans="1:18" ht="15"/>
    <row r="51" spans="1:18" ht="15"/>
    <row r="52" spans="1:18" ht="15"/>
    <row r="53" spans="1:18" ht="15"/>
    <row r="54" spans="1:18" ht="15"/>
  </sheetData>
  <mergeCells count="17">
    <mergeCell ref="K15:R15"/>
    <mergeCell ref="K20:R20"/>
    <mergeCell ref="K46:R46"/>
    <mergeCell ref="A47:D47"/>
    <mergeCell ref="F1:G1"/>
    <mergeCell ref="A7:D7"/>
    <mergeCell ref="A12:D12"/>
    <mergeCell ref="A17:D17"/>
    <mergeCell ref="A22:D22"/>
    <mergeCell ref="A27:D27"/>
    <mergeCell ref="A32:D32"/>
    <mergeCell ref="K1:R1"/>
    <mergeCell ref="H1:J1"/>
    <mergeCell ref="A37:D37"/>
    <mergeCell ref="A42:D42"/>
    <mergeCell ref="A1:E1"/>
    <mergeCell ref="K4:R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77DB5-C236-41B9-9E7D-5A23CC013B46}">
  <dimension ref="A1:D13"/>
  <sheetViews>
    <sheetView workbookViewId="0"/>
    <sheetView workbookViewId="1"/>
  </sheetViews>
  <sheetFormatPr defaultRowHeight="14.45"/>
  <cols>
    <col min="1" max="1" width="11.85546875" customWidth="1"/>
    <col min="3" max="3" width="37" customWidth="1"/>
    <col min="4" max="4" width="20.42578125" customWidth="1"/>
  </cols>
  <sheetData>
    <row r="1" spans="1:4">
      <c r="A1" t="s">
        <v>717</v>
      </c>
      <c r="B1" t="s">
        <v>718</v>
      </c>
      <c r="C1" t="s">
        <v>719</v>
      </c>
      <c r="D1" t="s">
        <v>720</v>
      </c>
    </row>
    <row r="2" spans="1:4">
      <c r="A2" t="s">
        <v>544</v>
      </c>
      <c r="B2" t="s">
        <v>525</v>
      </c>
      <c r="C2" t="s">
        <v>545</v>
      </c>
      <c r="D2" t="s">
        <v>721</v>
      </c>
    </row>
    <row r="3" spans="1:4">
      <c r="A3" t="s">
        <v>509</v>
      </c>
      <c r="B3" t="s">
        <v>547</v>
      </c>
      <c r="C3" t="s">
        <v>548</v>
      </c>
      <c r="D3" t="s">
        <v>549</v>
      </c>
    </row>
    <row r="4" spans="1:4">
      <c r="A4" t="s">
        <v>503</v>
      </c>
      <c r="B4" t="s">
        <v>551</v>
      </c>
      <c r="C4" t="s">
        <v>552</v>
      </c>
      <c r="D4" t="s">
        <v>553</v>
      </c>
    </row>
    <row r="5" spans="1:4">
      <c r="B5" t="s">
        <v>504</v>
      </c>
      <c r="C5" t="s">
        <v>529</v>
      </c>
    </row>
    <row r="6" spans="1:4">
      <c r="B6" t="s">
        <v>554</v>
      </c>
      <c r="C6" t="s">
        <v>526</v>
      </c>
    </row>
    <row r="7" spans="1:4">
      <c r="B7" t="s">
        <v>555</v>
      </c>
      <c r="C7" t="s">
        <v>556</v>
      </c>
    </row>
    <row r="8" spans="1:4">
      <c r="C8" t="s">
        <v>557</v>
      </c>
    </row>
    <row r="9" spans="1:4">
      <c r="C9" t="s">
        <v>558</v>
      </c>
    </row>
    <row r="10" spans="1:4">
      <c r="C10" t="s">
        <v>510</v>
      </c>
    </row>
    <row r="11" spans="1:4">
      <c r="C11" t="s">
        <v>505</v>
      </c>
    </row>
    <row r="12" spans="1:4">
      <c r="C12" t="s">
        <v>559</v>
      </c>
    </row>
    <row r="13" spans="1:4">
      <c r="C13" t="s">
        <v>560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4E8D9F44AC94942900E6DF50A997FB6" ma:contentTypeVersion="3" ma:contentTypeDescription="Create a new document." ma:contentTypeScope="" ma:versionID="8c40fecb2677cfaffbabf843c9220216">
  <xsd:schema xmlns:xsd="http://www.w3.org/2001/XMLSchema" xmlns:xs="http://www.w3.org/2001/XMLSchema" xmlns:p="http://schemas.microsoft.com/office/2006/metadata/properties" xmlns:ns2="a4b60e0f-b88f-4e0c-b609-c7266a2a99f1" targetNamespace="http://schemas.microsoft.com/office/2006/metadata/properties" ma:root="true" ma:fieldsID="92cdeae148f8aa5badfd50294d4819d4" ns2:_="">
    <xsd:import namespace="a4b60e0f-b88f-4e0c-b609-c7266a2a99f1"/>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b60e0f-b88f-4e0c-b609-c7266a2a99f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8E42606-185E-48F9-874C-13F8A055847B}"/>
</file>

<file path=customXml/itemProps2.xml><?xml version="1.0" encoding="utf-8"?>
<ds:datastoreItem xmlns:ds="http://schemas.openxmlformats.org/officeDocument/2006/customXml" ds:itemID="{8A873FFB-CC21-4FEC-B0CF-A5B46D67AEDB}"/>
</file>

<file path=customXml/itemProps3.xml><?xml version="1.0" encoding="utf-8"?>
<ds:datastoreItem xmlns:ds="http://schemas.openxmlformats.org/officeDocument/2006/customXml" ds:itemID="{B69EE37D-1737-4F59-91DB-C722427BF8E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2023-09-19T04:41:47Z</dcterms:created>
  <dcterms:modified xsi:type="dcterms:W3CDTF">2026-04-16T19:53:54Z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0x01010054E8D9F44AC94942900E6DF50A997FB6</vt:lpwstr>
  </property>
  <property fmtid="{D5CDD505-2E9C-101B-9397-08002B2CF9AE}" pid="3" name="MediaServiceImageTags">
    <vt:lpwstr/>
  </property>
  <property fmtid="{D5CDD505-2E9C-101B-9397-08002B2CF9AE}" pid="4" name="Order">
    <vt:r8>731600</vt:r8>
  </property>
  <property fmtid="{D5CDD505-2E9C-101B-9397-08002B2CF9AE}" pid="5" name="xd_Signature">
    <vt:bool>false</vt:bool>
  </property>
  <property fmtid="{D5CDD505-2E9C-101B-9397-08002B2CF9AE}" pid="6" name="SharedWithUsers">
    <vt:lpwstr>69;#Gordon Laws;#249;#Sarah Corbitt;#16;#Peter Boell;#227;#Callie Newkirk</vt:lpwstr>
  </property>
  <property fmtid="{D5CDD505-2E9C-101B-9397-08002B2CF9AE}" pid="7" name="xd_ProgID">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y fmtid="{D5CDD505-2E9C-101B-9397-08002B2CF9AE}" pid="11" name="TriggerFlowInfo">
    <vt:lpwstr/>
  </property>
</Properties>
</file>